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Users\Rehankhan\OneDrive\Desktop\"/>
    </mc:Choice>
  </mc:AlternateContent>
  <xr:revisionPtr revIDLastSave="0" documentId="13_ncr:1_{2F144FFF-7DFA-4432-A29A-A5E9ADCD1ACA}" xr6:coauthVersionLast="47" xr6:coauthVersionMax="47" xr10:uidLastSave="{00000000-0000-0000-0000-000000000000}"/>
  <bookViews>
    <workbookView xWindow="-110" yWindow="-110" windowWidth="19420" windowHeight="11500" tabRatio="797" activeTab="2" xr2:uid="{116086DC-4597-438E-8283-5352485CCAFB}"/>
  </bookViews>
  <sheets>
    <sheet name="Dataset" sheetId="1" r:id="rId1"/>
    <sheet name="P-Table" sheetId="2" r:id="rId2"/>
    <sheet name="Dashboard" sheetId="3" r:id="rId3"/>
  </sheets>
  <definedNames>
    <definedName name="Slicer_Brand">#N/A</definedName>
    <definedName name="Slicer_City">#N/A</definedName>
    <definedName name="Slicer_Months__Date">#N/A</definedName>
    <definedName name="Slicer_Product">#N/A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9" i="1" l="1"/>
  <c r="H139" i="1"/>
  <c r="G139" i="1"/>
  <c r="I138" i="1"/>
  <c r="H138" i="1"/>
  <c r="G138" i="1"/>
</calcChain>
</file>

<file path=xl/sharedStrings.xml><?xml version="1.0" encoding="utf-8"?>
<sst xmlns="http://schemas.openxmlformats.org/spreadsheetml/2006/main" count="642" uniqueCount="76">
  <si>
    <t>Date</t>
  </si>
  <si>
    <t>Product Code</t>
  </si>
  <si>
    <t>Product</t>
  </si>
  <si>
    <t>Brand</t>
  </si>
  <si>
    <t>City</t>
  </si>
  <si>
    <t>Total Quantity</t>
  </si>
  <si>
    <t>Rate</t>
  </si>
  <si>
    <t>Total Sales</t>
  </si>
  <si>
    <t>P001</t>
  </si>
  <si>
    <t>Laptop</t>
  </si>
  <si>
    <t>Dell</t>
  </si>
  <si>
    <t>Mumbai</t>
  </si>
  <si>
    <t>P002</t>
  </si>
  <si>
    <t>Mobile</t>
  </si>
  <si>
    <t>Samsung</t>
  </si>
  <si>
    <t>Delhi</t>
  </si>
  <si>
    <t>P003</t>
  </si>
  <si>
    <t>Tablet</t>
  </si>
  <si>
    <t>Apple</t>
  </si>
  <si>
    <t>Bengaluru</t>
  </si>
  <si>
    <t>P004</t>
  </si>
  <si>
    <t>Headphones</t>
  </si>
  <si>
    <t>Noise</t>
  </si>
  <si>
    <t>Hyderabad</t>
  </si>
  <si>
    <t>P005</t>
  </si>
  <si>
    <t>Smartwatch</t>
  </si>
  <si>
    <t>Pune</t>
  </si>
  <si>
    <t>P006</t>
  </si>
  <si>
    <t>TV</t>
  </si>
  <si>
    <t>LG</t>
  </si>
  <si>
    <t>Chennai</t>
  </si>
  <si>
    <t>P007</t>
  </si>
  <si>
    <t>Refrigerator</t>
  </si>
  <si>
    <t>Kolkata</t>
  </si>
  <si>
    <t>P008</t>
  </si>
  <si>
    <t>Microwave</t>
  </si>
  <si>
    <t>IFB</t>
  </si>
  <si>
    <t>Jaipur</t>
  </si>
  <si>
    <t>P009</t>
  </si>
  <si>
    <t>Keyboard</t>
  </si>
  <si>
    <t>Logitech</t>
  </si>
  <si>
    <t>P010</t>
  </si>
  <si>
    <t>Mouse</t>
  </si>
  <si>
    <t>HP</t>
  </si>
  <si>
    <t>Vivo</t>
  </si>
  <si>
    <t>Lenovo</t>
  </si>
  <si>
    <t>JBL</t>
  </si>
  <si>
    <t>Sony</t>
  </si>
  <si>
    <t>Whirlpool</t>
  </si>
  <si>
    <t>Computer Store Sales - 2025</t>
  </si>
  <si>
    <t>Sum of Total Sales</t>
  </si>
  <si>
    <t>Row Labels</t>
  </si>
  <si>
    <t>Grand Total</t>
  </si>
  <si>
    <t>Jan</t>
  </si>
  <si>
    <t>Feb</t>
  </si>
  <si>
    <t>Mar</t>
  </si>
  <si>
    <t>Apr</t>
  </si>
  <si>
    <t>May</t>
  </si>
  <si>
    <t>Jun</t>
  </si>
  <si>
    <t>Jul</t>
  </si>
  <si>
    <t>Aug</t>
  </si>
  <si>
    <t>Sep</t>
  </si>
  <si>
    <t>Oct</t>
  </si>
  <si>
    <t>Nov</t>
  </si>
  <si>
    <t>Dec</t>
  </si>
  <si>
    <t>Month wise growth</t>
  </si>
  <si>
    <t>Top Selling Product</t>
  </si>
  <si>
    <t>Best Performing Brand</t>
  </si>
  <si>
    <t>Sum of Total Quantity</t>
  </si>
  <si>
    <t>Quantity Analysis</t>
  </si>
  <si>
    <t>Column Labels</t>
  </si>
  <si>
    <t>PRODUCT PERFORMANCE ACROSS CITIES (HEAT MAP)</t>
  </si>
  <si>
    <t>Product Demand Analysis</t>
  </si>
  <si>
    <t>HighestRevenue City</t>
  </si>
  <si>
    <t>Total</t>
  </si>
  <si>
    <t>Average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</si>
</sst>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4009]\ * #,##0.00_ ;_ [$₹-4009]\ * \-#,##0.00_ ;_ [$₹-4009]\ * &quot;-&quot;??_ ;_ @_ "/>
  </numFmts>
  <fonts count="10" x14ac:knownFonts="1">
    <font>
      <sz val="11"/>
      <color theme="1"/>
      <name val="Aptos Narrow"/>
      <family val="2"/>
      <scheme val="minor"/>
    </font>
    <font>
      <sz val="10"/>
      <color theme="1"/>
      <name val="Aptos Narrow"/>
      <family val="2"/>
      <scheme val="minor"/>
    </font>
    <font>
      <b/>
      <sz val="12"/>
      <color theme="3"/>
      <name val="Aptos Narrow"/>
      <family val="2"/>
      <scheme val="minor"/>
    </font>
    <font>
      <b/>
      <sz val="12"/>
      <color theme="1"/>
      <name val="Aptos Narrow"/>
      <family val="2"/>
      <scheme val="minor"/>
    </font>
    <font>
      <b/>
      <sz val="14"/>
      <color theme="1"/>
      <name val="Aptos Narrow"/>
      <family val="2"/>
      <scheme val="minor"/>
    </font>
    <font>
      <b/>
      <sz val="14"/>
      <color theme="1"/>
      <name val="Arial Black"/>
      <family val="2"/>
    </font>
    <font>
      <b/>
      <sz val="20"/>
      <color theme="3"/>
      <name val="Aptos Narrow"/>
      <family val="2"/>
      <scheme val="minor"/>
    </font>
    <font>
      <b/>
      <sz val="12"/>
      <color theme="0"/>
      <name val="Aptos Narrow"/>
      <family val="2"/>
      <scheme val="minor"/>
    </font>
    <font>
      <b/>
      <sz val="12"/>
      <color theme="1" tint="4.9989318521683403E-2"/>
      <name val="Aptos Narrow"/>
      <family val="2"/>
      <scheme val="minor"/>
    </font>
    <font>
      <b/>
      <sz val="16"/>
      <color theme="1"/>
      <name val="Arial Black"/>
      <family val="2"/>
    </font>
  </fonts>
  <fills count="7">
    <fill>
      <patternFill patternType="none"/>
    </fill>
    <fill>
      <patternFill patternType="gray125"/>
    </fill>
    <fill>
      <patternFill patternType="solid">
        <fgColor theme="9" tint="0.79998168889431442"/>
        <bgColor indexed="64"/>
      </patternFill>
    </fill>
    <fill>
      <patternFill patternType="solid">
        <fgColor theme="5" tint="0.59999389629810485"/>
        <bgColor indexed="64"/>
      </patternFill>
    </fill>
    <fill>
      <patternFill patternType="solid">
        <fgColor rgb="FFFCF3CF"/>
        <bgColor indexed="64"/>
      </patternFill>
    </fill>
    <fill>
      <patternFill patternType="solid">
        <fgColor rgb="FF68C09E"/>
        <bgColor indexed="64"/>
      </patternFill>
    </fill>
    <fill>
      <patternFill patternType="solid">
        <fgColor theme="5" tint="-0.249977111117893"/>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30">
    <xf numFmtId="0" fontId="0" fillId="0" borderId="0" xfId="0"/>
    <xf numFmtId="0" fontId="1" fillId="2" borderId="1" xfId="0" applyFont="1" applyFill="1" applyBorder="1" applyAlignment="1">
      <alignment horizontal="center"/>
    </xf>
    <xf numFmtId="14" fontId="1" fillId="2" borderId="6" xfId="0" applyNumberFormat="1" applyFont="1" applyFill="1" applyBorder="1" applyAlignment="1">
      <alignment horizontal="center"/>
    </xf>
    <xf numFmtId="0" fontId="1" fillId="2" borderId="7" xfId="0" applyFont="1" applyFill="1" applyBorder="1" applyAlignment="1">
      <alignment horizontal="center"/>
    </xf>
    <xf numFmtId="14" fontId="1" fillId="2" borderId="3" xfId="0" applyNumberFormat="1" applyFont="1" applyFill="1" applyBorder="1" applyAlignment="1">
      <alignment horizontal="center"/>
    </xf>
    <xf numFmtId="0" fontId="1" fillId="2" borderId="9" xfId="0" applyFont="1" applyFill="1" applyBorder="1" applyAlignment="1">
      <alignment horizontal="center"/>
    </xf>
    <xf numFmtId="0" fontId="1" fillId="2" borderId="2" xfId="0" applyFont="1" applyFill="1" applyBorder="1" applyAlignment="1">
      <alignment horizontal="center"/>
    </xf>
    <xf numFmtId="0" fontId="0" fillId="0" borderId="0" xfId="0" pivotButton="1"/>
    <xf numFmtId="0" fontId="0" fillId="0" borderId="0" xfId="0" applyAlignment="1">
      <alignment horizontal="left"/>
    </xf>
    <xf numFmtId="0" fontId="0" fillId="2" borderId="0" xfId="0" applyFill="1"/>
    <xf numFmtId="0" fontId="0" fillId="2" borderId="0" xfId="0" applyFill="1" applyAlignment="1">
      <alignment horizontal="left"/>
    </xf>
    <xf numFmtId="0" fontId="0" fillId="4" borderId="0" xfId="0" applyFill="1"/>
    <xf numFmtId="0" fontId="0" fillId="2" borderId="1" xfId="0" applyFill="1" applyBorder="1"/>
    <xf numFmtId="0" fontId="0" fillId="3" borderId="1" xfId="0" applyFill="1" applyBorder="1"/>
    <xf numFmtId="0" fontId="3" fillId="3" borderId="1" xfId="0" applyFont="1" applyFill="1" applyBorder="1" applyAlignment="1">
      <alignment horizontal="center" vertical="center"/>
    </xf>
    <xf numFmtId="0" fontId="4" fillId="3" borderId="1" xfId="0" applyFont="1" applyFill="1" applyBorder="1" applyAlignment="1">
      <alignment horizontal="center" vertical="center"/>
    </xf>
    <xf numFmtId="0" fontId="5" fillId="3" borderId="1" xfId="0" applyFont="1" applyFill="1" applyBorder="1" applyAlignment="1">
      <alignment horizontal="center" vertical="center"/>
    </xf>
    <xf numFmtId="164" fontId="3" fillId="3" borderId="1" xfId="0" applyNumberFormat="1" applyFont="1" applyFill="1" applyBorder="1" applyAlignment="1">
      <alignment horizontal="center" vertical="center"/>
    </xf>
    <xf numFmtId="0" fontId="0" fillId="5" borderId="0" xfId="0" applyFill="1"/>
    <xf numFmtId="0" fontId="7" fillId="6" borderId="5" xfId="0" applyFont="1" applyFill="1" applyBorder="1"/>
    <xf numFmtId="0" fontId="7" fillId="6" borderId="8" xfId="0" applyFont="1" applyFill="1" applyBorder="1"/>
    <xf numFmtId="0" fontId="7" fillId="6" borderId="4" xfId="0" applyFont="1" applyFill="1" applyBorder="1"/>
    <xf numFmtId="0" fontId="6" fillId="3" borderId="0" xfId="0" applyFont="1" applyFill="1" applyAlignment="1">
      <alignment horizontal="center" vertical="center"/>
    </xf>
    <xf numFmtId="0" fontId="2" fillId="5" borderId="0" xfId="0" applyFont="1" applyFill="1" applyAlignment="1">
      <alignment horizontal="center"/>
    </xf>
    <xf numFmtId="0" fontId="9" fillId="5" borderId="0" xfId="0" applyFont="1" applyFill="1" applyAlignment="1">
      <alignment horizontal="center"/>
    </xf>
    <xf numFmtId="0" fontId="0" fillId="5" borderId="0" xfId="0" applyFill="1" applyAlignment="1">
      <alignment horizontal="center"/>
    </xf>
    <xf numFmtId="0" fontId="2" fillId="5" borderId="0" xfId="0" applyFont="1" applyFill="1" applyAlignment="1">
      <alignment horizontal="center" vertical="center" wrapText="1"/>
    </xf>
    <xf numFmtId="0" fontId="2" fillId="5" borderId="0" xfId="0" applyFont="1" applyFill="1" applyAlignment="1">
      <alignment horizontal="center" vertical="center"/>
    </xf>
    <xf numFmtId="0" fontId="8" fillId="5" borderId="0" xfId="0" applyFont="1" applyFill="1" applyAlignment="1">
      <alignment horizontal="center"/>
    </xf>
    <xf numFmtId="0" fontId="3" fillId="5" borderId="0" xfId="0" applyFont="1" applyFill="1" applyAlignment="1">
      <alignment horizontal="center"/>
    </xf>
  </cellXfs>
  <cellStyles count="1">
    <cellStyle name="Normal" xfId="0" builtinId="0"/>
  </cellStyles>
  <dxfs count="14">
    <dxf>
      <fill>
        <patternFill patternType="solid">
          <bgColor theme="9" tint="0.79998168889431442"/>
        </patternFill>
      </fill>
    </dxf>
    <dxf>
      <font>
        <b val="0"/>
        <i val="0"/>
        <strike val="0"/>
        <condense val="0"/>
        <extend val="0"/>
        <outline val="0"/>
        <shadow val="0"/>
        <u val="none"/>
        <vertAlign val="baseline"/>
        <sz val="10"/>
        <color theme="1"/>
        <name val="Aptos Narrow"/>
        <family val="2"/>
        <scheme val="minor"/>
      </font>
      <fill>
        <patternFill patternType="solid">
          <fgColor indexed="64"/>
          <bgColor theme="9" tint="0.79998168889431442"/>
        </patternFill>
      </fil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Aptos Narrow"/>
        <family val="2"/>
        <scheme val="minor"/>
      </font>
      <fill>
        <patternFill patternType="solid">
          <fgColor indexed="64"/>
          <bgColor theme="9"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ptos Narrow"/>
        <family val="2"/>
        <scheme val="minor"/>
      </font>
      <fill>
        <patternFill patternType="solid">
          <fgColor indexed="64"/>
          <bgColor theme="9"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ptos Narrow"/>
        <family val="2"/>
        <scheme val="minor"/>
      </font>
      <fill>
        <patternFill patternType="solid">
          <fgColor indexed="64"/>
          <bgColor theme="9"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ptos Narrow"/>
        <family val="2"/>
        <scheme val="minor"/>
      </font>
      <fill>
        <patternFill patternType="solid">
          <fgColor indexed="64"/>
          <bgColor theme="9"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ptos Narrow"/>
        <family val="2"/>
        <scheme val="minor"/>
      </font>
      <fill>
        <patternFill patternType="solid">
          <fgColor indexed="64"/>
          <bgColor theme="9"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ptos Narrow"/>
        <family val="2"/>
        <scheme val="minor"/>
      </font>
      <fill>
        <patternFill patternType="solid">
          <fgColor indexed="64"/>
          <bgColor theme="9"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9" formatCode="dd/mm/yyyy"/>
      <fill>
        <patternFill patternType="solid">
          <fgColor indexed="64"/>
          <bgColor theme="9" tint="0.79998168889431442"/>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scheme val="minor"/>
      </font>
      <fill>
        <patternFill patternType="solid">
          <fgColor indexed="64"/>
          <bgColor theme="9" tint="0.79998168889431442"/>
        </patternFill>
      </fill>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0"/>
        <name val="Aptos Narrow"/>
        <family val="2"/>
        <scheme val="minor"/>
      </font>
      <fill>
        <patternFill patternType="solid">
          <fgColor indexed="64"/>
          <bgColor theme="5" tint="-0.249977111117893"/>
        </patternFill>
      </fill>
      <border diagonalUp="0" diagonalDown="0" outline="0">
        <left style="thin">
          <color indexed="64"/>
        </left>
        <right style="thin">
          <color indexed="64"/>
        </right>
        <top/>
        <bottom/>
      </border>
    </dxf>
  </dxfs>
  <tableStyles count="1" defaultTableStyle="TableStyleMedium2" defaultPivotStyle="PivotStyleLight16">
    <tableStyle name="Slicer Style 1" pivot="0" table="0" count="1" xr9:uid="{103D39B1-D6D8-4C8B-95D9-DEFF2668156A}"/>
  </tableStyles>
  <colors>
    <mruColors>
      <color rgb="FFFCF3CF"/>
      <color rgb="FF3E9473"/>
      <color rgb="FF68C09E"/>
      <color rgb="FFD5F5E3"/>
      <color rgb="FFFDEDEC"/>
    </mruColors>
  </colors>
  <extLst>
    <ext xmlns:x14="http://schemas.microsoft.com/office/spreadsheetml/2009/9/main" uri="{46F421CA-312F-682f-3DD2-61675219B42D}">
      <x14:dxfs count="1">
        <dxf>
          <fill>
            <gradientFill degree="90">
              <stop position="0">
                <color theme="0"/>
              </stop>
              <stop position="0.5">
                <color theme="4"/>
              </stop>
              <stop position="1">
                <color theme="0"/>
              </stop>
            </gradientFill>
          </fill>
        </dxf>
      </x14:dxfs>
    </ext>
    <ext xmlns:x14="http://schemas.microsoft.com/office/spreadsheetml/2009/9/main" uri="{EB79DEF2-80B8-43e5-95BD-54CBDDF9020C}">
      <x14:slicerStyles defaultSlicerStyle="SlicerStyleLight1">
        <x14:slicerStyle name="Slicer Style 1">
          <x14:slicerStyleElements>
            <x14:slicerStyleElement type="hovered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[COMPUTER STORE SALES.xlsx]P-Table!PivotTable1</c:name>
    <c:fmtId val="14"/>
  </c:pivotSource>
  <c:chart>
    <c:title>
      <c:tx>
        <c:rich>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r>
              <a:rPr lang="en-IN" sz="1800">
                <a:solidFill>
                  <a:schemeClr val="tx1">
                    <a:lumMod val="95000"/>
                    <a:lumOff val="5000"/>
                  </a:schemeClr>
                </a:solidFill>
                <a:latin typeface="Arial Black" panose="020B0A04020102020204" pitchFamily="34" charset="0"/>
              </a:rPr>
              <a:t>Monthly Sales Trend</a:t>
            </a:r>
            <a:endParaRPr lang="en-US" sz="1800">
              <a:solidFill>
                <a:schemeClr val="tx1">
                  <a:lumMod val="95000"/>
                  <a:lumOff val="5000"/>
                </a:schemeClr>
              </a:solidFill>
              <a:latin typeface="Arial Black" panose="020B0A04020102020204" pitchFamily="34" charset="0"/>
            </a:endParaRPr>
          </a:p>
        </c:rich>
      </c:tx>
      <c:layout>
        <c:manualLayout>
          <c:xMode val="edge"/>
          <c:yMode val="edge"/>
          <c:x val="0.31378553006381826"/>
          <c:y val="1.921398172704950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accent5">
                <a:lumMod val="75000"/>
              </a:schemeClr>
            </a:soli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'P-Table'!$N$23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accent5">
                  <a:lumMod val="75000"/>
                </a:schemeClr>
              </a:solidFill>
              <a:ln w="9525">
                <a:solidFill>
                  <a:schemeClr val="accent1"/>
                </a:solidFill>
                <a:round/>
              </a:ln>
              <a:effectLst>
                <a:outerShdw blurRad="57150" dist="19050" dir="5400000" algn="ctr" rotWithShape="0">
                  <a:srgbClr val="000000">
                    <a:alpha val="63000"/>
                  </a:srgbClr>
                </a:outerShdw>
              </a:effectLst>
            </c:spPr>
          </c:marker>
          <c:cat>
            <c:strRef>
              <c:f>'P-Table'!$M$24:$M$36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'P-Table'!$N$24:$N$36</c:f>
              <c:numCache>
                <c:formatCode>General</c:formatCode>
                <c:ptCount val="12"/>
                <c:pt idx="0">
                  <c:v>622600</c:v>
                </c:pt>
                <c:pt idx="1">
                  <c:v>621100</c:v>
                </c:pt>
                <c:pt idx="2">
                  <c:v>639750</c:v>
                </c:pt>
                <c:pt idx="3">
                  <c:v>617400</c:v>
                </c:pt>
                <c:pt idx="4">
                  <c:v>596400</c:v>
                </c:pt>
                <c:pt idx="5">
                  <c:v>691950</c:v>
                </c:pt>
                <c:pt idx="6">
                  <c:v>593700</c:v>
                </c:pt>
                <c:pt idx="7">
                  <c:v>607700</c:v>
                </c:pt>
                <c:pt idx="8">
                  <c:v>702260</c:v>
                </c:pt>
                <c:pt idx="9">
                  <c:v>604790</c:v>
                </c:pt>
                <c:pt idx="10">
                  <c:v>610150</c:v>
                </c:pt>
                <c:pt idx="11">
                  <c:v>1351140</c:v>
                </c:pt>
              </c:numCache>
            </c:numRef>
          </c:val>
          <c:smooth val="0"/>
          <c:extLst>
            <c:ext xmlns:c16="http://schemas.microsoft.com/office/drawing/2014/chart" uri="{C3380CC4-5D6E-409C-BE32-E72D297353CC}">
              <c16:uniqueId val="{00000000-8107-4B8B-AF68-4AE6D56D1660}"/>
            </c:ext>
          </c:extLst>
        </c:ser>
        <c:dLbls>
          <c:showLegendKey val="0"/>
          <c:showVal val="0"/>
          <c:showCatName val="0"/>
          <c:showSerName val="0"/>
          <c:showPercent val="0"/>
          <c:showBubbleSize val="0"/>
        </c:dLbls>
        <c:marker val="1"/>
        <c:smooth val="0"/>
        <c:axId val="1369529728"/>
        <c:axId val="1369528768"/>
      </c:lineChart>
      <c:catAx>
        <c:axId val="136952972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95000"/>
                    <a:lumOff val="5000"/>
                  </a:schemeClr>
                </a:solidFill>
                <a:latin typeface="+mn-lt"/>
                <a:ea typeface="+mn-ea"/>
                <a:cs typeface="+mn-cs"/>
              </a:defRPr>
            </a:pPr>
            <a:endParaRPr lang="en-US"/>
          </a:p>
        </c:txPr>
        <c:crossAx val="1369528768"/>
        <c:crosses val="autoZero"/>
        <c:auto val="1"/>
        <c:lblAlgn val="ctr"/>
        <c:lblOffset val="100"/>
        <c:noMultiLvlLbl val="0"/>
      </c:catAx>
      <c:valAx>
        <c:axId val="13695287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US"/>
          </a:p>
        </c:txPr>
        <c:crossAx val="136952972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[COMPUTER STORE SALES.xlsx]P-Table!PivotTable2</c:name>
    <c:fmtId val="16"/>
  </c:pivotSource>
  <c:chart>
    <c:title>
      <c:tx>
        <c:rich>
          <a:bodyPr rot="0" spcFirstLastPara="1" vertOverflow="ellipsis" vert="horz" wrap="square" anchor="ctr" anchorCtr="1"/>
          <a:lstStyle/>
          <a:p>
            <a:pPr>
              <a:defRPr sz="1900" b="1" i="0" u="none" strike="noStrike" kern="1200" cap="all" spc="50" baseline="0">
                <a:solidFill>
                  <a:schemeClr val="tx1">
                    <a:lumMod val="65000"/>
                    <a:lumOff val="35000"/>
                  </a:schemeClr>
                </a:solidFill>
                <a:latin typeface="+mn-lt"/>
                <a:ea typeface="+mn-ea"/>
                <a:cs typeface="+mn-cs"/>
              </a:defRPr>
            </a:pPr>
            <a:r>
              <a:rPr lang="en-IN" sz="1600" b="1" i="0" u="none" strike="noStrike" cap="all" baseline="0">
                <a:solidFill>
                  <a:schemeClr val="tx1"/>
                </a:solidFill>
                <a:effectLst/>
                <a:latin typeface="Arial Black" panose="020B0A04020102020204" pitchFamily="34" charset="0"/>
              </a:rPr>
              <a:t>PRODUCT WISE SALES</a:t>
            </a:r>
            <a:endParaRPr lang="en-IN" sz="1600" b="1">
              <a:solidFill>
                <a:schemeClr val="tx1"/>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900" b="1" i="0" u="none" strike="noStrike" kern="1200" cap="all" spc="5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'P-Table'!$D$20</c:f>
              <c:strCache>
                <c:ptCount val="1"/>
                <c:pt idx="0">
                  <c:v>Total</c:v>
                </c:pt>
              </c:strCache>
            </c:strRef>
          </c:tx>
          <c:spPr>
            <a:solidFill>
              <a:schemeClr val="accent6">
                <a:lumMod val="60000"/>
                <a:lumOff val="40000"/>
              </a:schemeClr>
            </a:solidFill>
            <a:ln>
              <a:noFill/>
            </a:ln>
            <a:effectLst/>
          </c:spPr>
          <c:invertIfNegative val="0"/>
          <c:cat>
            <c:strRef>
              <c:f>'P-Table'!$C$21:$C$31</c:f>
              <c:strCache>
                <c:ptCount val="10"/>
                <c:pt idx="0">
                  <c:v>Laptop</c:v>
                </c:pt>
                <c:pt idx="1">
                  <c:v>Mobile</c:v>
                </c:pt>
                <c:pt idx="2">
                  <c:v>Headphones</c:v>
                </c:pt>
                <c:pt idx="3">
                  <c:v>Keyboard</c:v>
                </c:pt>
                <c:pt idx="4">
                  <c:v>Mouse</c:v>
                </c:pt>
                <c:pt idx="5">
                  <c:v>Tablet</c:v>
                </c:pt>
                <c:pt idx="6">
                  <c:v>Microwave</c:v>
                </c:pt>
                <c:pt idx="7">
                  <c:v>Refrigerator</c:v>
                </c:pt>
                <c:pt idx="8">
                  <c:v>Smartwatch</c:v>
                </c:pt>
                <c:pt idx="9">
                  <c:v>TV</c:v>
                </c:pt>
              </c:strCache>
            </c:strRef>
          </c:cat>
          <c:val>
            <c:numRef>
              <c:f>'P-Table'!$D$21:$D$31</c:f>
              <c:numCache>
                <c:formatCode>General</c:formatCode>
                <c:ptCount val="10"/>
                <c:pt idx="0">
                  <c:v>2130500</c:v>
                </c:pt>
                <c:pt idx="1">
                  <c:v>1266700</c:v>
                </c:pt>
                <c:pt idx="2">
                  <c:v>271800</c:v>
                </c:pt>
                <c:pt idx="3">
                  <c:v>155250</c:v>
                </c:pt>
                <c:pt idx="4">
                  <c:v>122940</c:v>
                </c:pt>
                <c:pt idx="5">
                  <c:v>1571500</c:v>
                </c:pt>
                <c:pt idx="6">
                  <c:v>541800</c:v>
                </c:pt>
                <c:pt idx="7">
                  <c:v>716400</c:v>
                </c:pt>
                <c:pt idx="8">
                  <c:v>557050</c:v>
                </c:pt>
                <c:pt idx="9">
                  <c:v>925000</c:v>
                </c:pt>
              </c:numCache>
            </c:numRef>
          </c:val>
          <c:extLst>
            <c:ext xmlns:c16="http://schemas.microsoft.com/office/drawing/2014/chart" uri="{C3380CC4-5D6E-409C-BE32-E72D297353CC}">
              <c16:uniqueId val="{00000000-925A-4AC7-859A-75FFB348C2F5}"/>
            </c:ext>
          </c:extLst>
        </c:ser>
        <c:dLbls>
          <c:showLegendKey val="0"/>
          <c:showVal val="0"/>
          <c:showCatName val="0"/>
          <c:showSerName val="0"/>
          <c:showPercent val="0"/>
          <c:showBubbleSize val="0"/>
        </c:dLbls>
        <c:gapWidth val="50"/>
        <c:overlap val="100"/>
        <c:axId val="1369543168"/>
        <c:axId val="1369543648"/>
      </c:barChart>
      <c:catAx>
        <c:axId val="1369543168"/>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1050" b="1" i="0" u="none" strike="noStrike" kern="1200" baseline="0">
                <a:solidFill>
                  <a:schemeClr val="tx1">
                    <a:lumMod val="95000"/>
                    <a:lumOff val="5000"/>
                  </a:schemeClr>
                </a:solidFill>
                <a:latin typeface="+mn-lt"/>
                <a:ea typeface="+mn-ea"/>
                <a:cs typeface="+mn-cs"/>
              </a:defRPr>
            </a:pPr>
            <a:endParaRPr lang="en-US"/>
          </a:p>
        </c:txPr>
        <c:crossAx val="1369543648"/>
        <c:crosses val="autoZero"/>
        <c:auto val="1"/>
        <c:lblAlgn val="ctr"/>
        <c:lblOffset val="100"/>
        <c:noMultiLvlLbl val="0"/>
      </c:catAx>
      <c:valAx>
        <c:axId val="1369543648"/>
        <c:scaling>
          <c:orientation val="minMax"/>
        </c:scaling>
        <c:delete val="0"/>
        <c:axPos val="b"/>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US"/>
          </a:p>
        </c:txPr>
        <c:crossAx val="1369543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[COMPUTER STORE SALES.xlsx]P-Table!PivotTable3</c:name>
    <c:fmtId val="6"/>
  </c:pivotSource>
  <c:chart>
    <c:title>
      <c:tx>
        <c:rich>
          <a:bodyPr rot="0" spcFirstLastPara="1" vertOverflow="ellipsis" vert="horz" wrap="square" anchor="ctr" anchorCtr="1"/>
          <a:lstStyle/>
          <a:p>
            <a:pPr>
              <a:defRPr sz="1900" b="1" i="0" u="none" strike="noStrike" kern="1200" baseline="0">
                <a:solidFill>
                  <a:schemeClr val="dk1">
                    <a:lumMod val="65000"/>
                    <a:lumOff val="35000"/>
                  </a:schemeClr>
                </a:solidFill>
                <a:latin typeface="+mn-lt"/>
                <a:ea typeface="+mn-ea"/>
                <a:cs typeface="+mn-cs"/>
              </a:defRPr>
            </a:pPr>
            <a:r>
              <a:rPr lang="en-IN" sz="1800" b="1" i="0" u="none" strike="noStrike" baseline="0">
                <a:solidFill>
                  <a:schemeClr val="tx1"/>
                </a:solidFill>
                <a:effectLst/>
                <a:latin typeface="Arial Black" panose="020B0A04020102020204" pitchFamily="34" charset="0"/>
              </a:rPr>
              <a:t>BRAND WISE SALES </a:t>
            </a:r>
            <a:endParaRPr lang="en-IN" sz="1800" b="1">
              <a:solidFill>
                <a:schemeClr val="tx1"/>
              </a:solidFill>
              <a:latin typeface="Arial Black" panose="020B0A0402010202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900" b="1" i="0" u="none" strike="noStrike" kern="1200" baseline="0">
              <a:solidFill>
                <a:schemeClr val="dk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1"/>
          </a:solidFill>
          <a:ln>
            <a:noFill/>
          </a:ln>
          <a:effectLst>
            <a:outerShdw blurRad="317500" algn="ctr" rotWithShape="0">
              <a:prstClr val="black">
                <a:alpha val="25000"/>
              </a:prstClr>
            </a:outerShdw>
          </a:effectLst>
        </c:spPr>
      </c:pivotFmt>
      <c:pivotFmt>
        <c:idx val="18"/>
        <c:spPr>
          <a:solidFill>
            <a:schemeClr val="accent1"/>
          </a:solidFill>
          <a:ln>
            <a:noFill/>
          </a:ln>
          <a:effectLst>
            <a:outerShdw blurRad="317500" algn="ctr" rotWithShape="0">
              <a:prstClr val="black">
                <a:alpha val="25000"/>
              </a:prstClr>
            </a:outerShdw>
          </a:effectLst>
        </c:spPr>
      </c:pivotFmt>
      <c:pivotFmt>
        <c:idx val="19"/>
        <c:spPr>
          <a:solidFill>
            <a:schemeClr val="accent1"/>
          </a:solidFill>
          <a:ln>
            <a:noFill/>
          </a:ln>
          <a:effectLst>
            <a:outerShdw blurRad="317500" algn="ctr" rotWithShape="0">
              <a:prstClr val="black">
                <a:alpha val="25000"/>
              </a:prstClr>
            </a:outerShdw>
          </a:effectLst>
        </c:spPr>
      </c:pivotFmt>
      <c:pivotFmt>
        <c:idx val="20"/>
        <c:spPr>
          <a:solidFill>
            <a:schemeClr val="accent1"/>
          </a:solidFill>
          <a:ln>
            <a:noFill/>
          </a:ln>
          <a:effectLst>
            <a:outerShdw blurRad="317500" algn="ctr" rotWithShape="0">
              <a:prstClr val="black">
                <a:alpha val="25000"/>
              </a:prstClr>
            </a:outerShdw>
          </a:effectLst>
        </c:spPr>
      </c:pivotFmt>
      <c:pivotFmt>
        <c:idx val="21"/>
        <c:spPr>
          <a:solidFill>
            <a:schemeClr val="accent1"/>
          </a:solidFill>
          <a:ln>
            <a:noFill/>
          </a:ln>
          <a:effectLst>
            <a:outerShdw blurRad="317500" algn="ctr" rotWithShape="0">
              <a:prstClr val="black">
                <a:alpha val="25000"/>
              </a:prstClr>
            </a:outerShdw>
          </a:effectLst>
        </c:spPr>
      </c:pivotFmt>
      <c:pivotFmt>
        <c:idx val="22"/>
        <c:spPr>
          <a:solidFill>
            <a:schemeClr val="accent1"/>
          </a:solidFill>
          <a:ln>
            <a:noFill/>
          </a:ln>
          <a:effectLst>
            <a:outerShdw blurRad="317500" algn="ctr" rotWithShape="0">
              <a:prstClr val="black">
                <a:alpha val="25000"/>
              </a:prstClr>
            </a:outerShdw>
          </a:effectLst>
        </c:spPr>
      </c:pivotFmt>
      <c:pivotFmt>
        <c:idx val="23"/>
        <c:spPr>
          <a:solidFill>
            <a:schemeClr val="accent1"/>
          </a:solidFill>
          <a:ln>
            <a:noFill/>
          </a:ln>
          <a:effectLst>
            <a:outerShdw blurRad="317500" algn="ctr" rotWithShape="0">
              <a:prstClr val="black">
                <a:alpha val="25000"/>
              </a:prstClr>
            </a:outerShdw>
          </a:effectLst>
        </c:spPr>
      </c:pivotFmt>
      <c:pivotFmt>
        <c:idx val="24"/>
        <c:spPr>
          <a:solidFill>
            <a:schemeClr val="accent1"/>
          </a:solidFill>
          <a:ln>
            <a:noFill/>
          </a:ln>
          <a:effectLst>
            <a:outerShdw blurRad="317500" algn="ctr" rotWithShape="0">
              <a:prstClr val="black">
                <a:alpha val="25000"/>
              </a:prstClr>
            </a:outerShdw>
          </a:effectLst>
        </c:spPr>
      </c:pivotFmt>
      <c:pivotFmt>
        <c:idx val="25"/>
        <c:spPr>
          <a:solidFill>
            <a:schemeClr val="accent1"/>
          </a:solidFill>
          <a:ln>
            <a:noFill/>
          </a:ln>
          <a:effectLst>
            <a:outerShdw blurRad="317500" algn="ctr" rotWithShape="0">
              <a:prstClr val="black">
                <a:alpha val="25000"/>
              </a:prstClr>
            </a:outerShdw>
          </a:effectLst>
        </c:spPr>
      </c:pivotFmt>
      <c:pivotFmt>
        <c:idx val="26"/>
        <c:spPr>
          <a:solidFill>
            <a:schemeClr val="accent1"/>
          </a:solidFill>
          <a:ln>
            <a:noFill/>
          </a:ln>
          <a:effectLst>
            <a:outerShdw blurRad="317500" algn="ctr" rotWithShape="0">
              <a:prstClr val="black">
                <a:alpha val="25000"/>
              </a:prstClr>
            </a:outerShdw>
          </a:effectLst>
        </c:spPr>
      </c:pivotFmt>
      <c:pivotFmt>
        <c:idx val="27"/>
        <c:spPr>
          <a:solidFill>
            <a:schemeClr val="accent1"/>
          </a:solidFill>
          <a:ln>
            <a:noFill/>
          </a:ln>
          <a:effectLst>
            <a:outerShdw blurRad="317500" algn="ctr" rotWithShape="0">
              <a:prstClr val="black">
                <a:alpha val="25000"/>
              </a:prstClr>
            </a:outerShdw>
          </a:effectLst>
        </c:spPr>
      </c:pivotFmt>
      <c:pivotFmt>
        <c:idx val="28"/>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7.9323060454998595E-2"/>
          <c:y val="0.13776947416239466"/>
          <c:w val="0.830132611888172"/>
          <c:h val="0.6148488960831725"/>
        </c:manualLayout>
      </c:layout>
      <c:doughnutChart>
        <c:varyColors val="1"/>
        <c:ser>
          <c:idx val="0"/>
          <c:order val="0"/>
          <c:tx>
            <c:strRef>
              <c:f>'P-Table'!$N$5</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8E9-4838-9E2C-EB20076CDB9B}"/>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8E9-4838-9E2C-EB20076CDB9B}"/>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48E9-4838-9E2C-EB20076CDB9B}"/>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48E9-4838-9E2C-EB20076CDB9B}"/>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48E9-4838-9E2C-EB20076CDB9B}"/>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48E9-4838-9E2C-EB20076CDB9B}"/>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48E9-4838-9E2C-EB20076CDB9B}"/>
              </c:ext>
            </c:extLst>
          </c:dPt>
          <c:dPt>
            <c:idx val="7"/>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48E9-4838-9E2C-EB20076CDB9B}"/>
              </c:ext>
            </c:extLst>
          </c:dPt>
          <c:dPt>
            <c:idx val="8"/>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48E9-4838-9E2C-EB20076CDB9B}"/>
              </c:ext>
            </c:extLst>
          </c:dPt>
          <c:dPt>
            <c:idx val="9"/>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48E9-4838-9E2C-EB20076CDB9B}"/>
              </c:ext>
            </c:extLst>
          </c:dPt>
          <c:dPt>
            <c:idx val="10"/>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5-48E9-4838-9E2C-EB20076CDB9B}"/>
              </c:ext>
            </c:extLst>
          </c:dPt>
          <c:dPt>
            <c:idx val="11"/>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7-48E9-4838-9E2C-EB20076CDB9B}"/>
              </c:ext>
            </c:extLst>
          </c:dPt>
          <c:dPt>
            <c:idx val="12"/>
            <c:bubble3D val="0"/>
            <c:spPr>
              <a:solidFill>
                <a:schemeClr val="accent1">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9-48E9-4838-9E2C-EB20076CDB9B}"/>
              </c:ext>
            </c:extLst>
          </c:dPt>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'P-Table'!$M$6:$M$19</c:f>
              <c:strCache>
                <c:ptCount val="13"/>
                <c:pt idx="0">
                  <c:v>Apple</c:v>
                </c:pt>
                <c:pt idx="1">
                  <c:v>Dell</c:v>
                </c:pt>
                <c:pt idx="2">
                  <c:v>HP</c:v>
                </c:pt>
                <c:pt idx="3">
                  <c:v>IFB</c:v>
                </c:pt>
                <c:pt idx="4">
                  <c:v>JBL</c:v>
                </c:pt>
                <c:pt idx="5">
                  <c:v>Lenovo</c:v>
                </c:pt>
                <c:pt idx="6">
                  <c:v>LG</c:v>
                </c:pt>
                <c:pt idx="7">
                  <c:v>Logitech</c:v>
                </c:pt>
                <c:pt idx="8">
                  <c:v>Noise</c:v>
                </c:pt>
                <c:pt idx="9">
                  <c:v>Samsung</c:v>
                </c:pt>
                <c:pt idx="10">
                  <c:v>Sony</c:v>
                </c:pt>
                <c:pt idx="11">
                  <c:v>Vivo</c:v>
                </c:pt>
                <c:pt idx="12">
                  <c:v>Whirlpool</c:v>
                </c:pt>
              </c:strCache>
            </c:strRef>
          </c:cat>
          <c:val>
            <c:numRef>
              <c:f>'P-Table'!$N$6:$N$19</c:f>
              <c:numCache>
                <c:formatCode>General</c:formatCode>
                <c:ptCount val="13"/>
                <c:pt idx="0">
                  <c:v>977000</c:v>
                </c:pt>
                <c:pt idx="1">
                  <c:v>827500</c:v>
                </c:pt>
                <c:pt idx="2">
                  <c:v>473400</c:v>
                </c:pt>
                <c:pt idx="3">
                  <c:v>403800</c:v>
                </c:pt>
                <c:pt idx="4">
                  <c:v>87150</c:v>
                </c:pt>
                <c:pt idx="5">
                  <c:v>1494500</c:v>
                </c:pt>
                <c:pt idx="6">
                  <c:v>815500</c:v>
                </c:pt>
                <c:pt idx="7">
                  <c:v>207790</c:v>
                </c:pt>
                <c:pt idx="8">
                  <c:v>373700</c:v>
                </c:pt>
                <c:pt idx="9">
                  <c:v>1864300</c:v>
                </c:pt>
                <c:pt idx="10">
                  <c:v>247500</c:v>
                </c:pt>
                <c:pt idx="11">
                  <c:v>328500</c:v>
                </c:pt>
                <c:pt idx="12">
                  <c:v>158300</c:v>
                </c:pt>
              </c:numCache>
            </c:numRef>
          </c:val>
          <c:extLst>
            <c:ext xmlns:c16="http://schemas.microsoft.com/office/drawing/2014/chart" uri="{C3380CC4-5D6E-409C-BE32-E72D297353CC}">
              <c16:uniqueId val="{0000001A-48E9-4838-9E2C-EB20076CDB9B}"/>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layout>
        <c:manualLayout>
          <c:xMode val="edge"/>
          <c:yMode val="edge"/>
          <c:x val="4.5921527553862737E-2"/>
          <c:y val="0.79513046044302294"/>
          <c:w val="0.92021893399762433"/>
          <c:h val="0.14343893771743105"/>
        </c:manualLayout>
      </c:layout>
      <c:overlay val="0"/>
      <c:spPr>
        <a:solidFill>
          <a:schemeClr val="lt1">
            <a:alpha val="78000"/>
          </a:schemeClr>
        </a:solidFill>
        <a:ln>
          <a:noFill/>
        </a:ln>
        <a:effectLst/>
      </c:spPr>
      <c:txPr>
        <a:bodyPr rot="0" spcFirstLastPara="1" vertOverflow="ellipsis" vert="horz" wrap="square" anchor="ctr" anchorCtr="1"/>
        <a:lstStyle/>
        <a:p>
          <a:pPr>
            <a:defRPr sz="1400" b="1"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15000"/>
          <a:lumOff val="85000"/>
        </a:schemeClr>
      </a:solidFill>
      <a:round/>
    </a:ln>
    <a:effectLst/>
  </c:spPr>
  <c:txPr>
    <a:bodyPr/>
    <a:lstStyle/>
    <a:p>
      <a:pPr>
        <a:defRPr sz="105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[COMPUTER STORE SALES.xlsx]P-Table!PivotTable4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i="0" u="none" strike="noStrike" baseline="0">
                <a:solidFill>
                  <a:schemeClr val="tx1"/>
                </a:solidFill>
                <a:effectLst/>
                <a:latin typeface="Arial Black" panose="020B0A04020102020204" pitchFamily="34" charset="0"/>
              </a:rPr>
              <a:t>CITY WISE SALES</a:t>
            </a:r>
            <a:endParaRPr lang="en-IN" sz="2000" b="1">
              <a:solidFill>
                <a:schemeClr val="tx1"/>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'P-Table'!$D$35</c:f>
              <c:strCache>
                <c:ptCount val="1"/>
                <c:pt idx="0">
                  <c:v>Total</c:v>
                </c:pt>
              </c:strCache>
            </c:strRef>
          </c:tx>
          <c:spPr>
            <a:solidFill>
              <a:schemeClr val="accent5">
                <a:lumMod val="60000"/>
                <a:lumOff val="40000"/>
              </a:schemeClr>
            </a:solidFill>
            <a:ln>
              <a:noFill/>
            </a:ln>
            <a:effectLst/>
          </c:spPr>
          <c:invertIfNegative val="0"/>
          <c:cat>
            <c:strRef>
              <c:f>'P-Table'!$C$36:$C$44</c:f>
              <c:strCache>
                <c:ptCount val="8"/>
                <c:pt idx="0">
                  <c:v>Bengaluru</c:v>
                </c:pt>
                <c:pt idx="1">
                  <c:v>Chennai</c:v>
                </c:pt>
                <c:pt idx="2">
                  <c:v>Delhi</c:v>
                </c:pt>
                <c:pt idx="3">
                  <c:v>Hyderabad</c:v>
                </c:pt>
                <c:pt idx="4">
                  <c:v>Jaipur</c:v>
                </c:pt>
                <c:pt idx="5">
                  <c:v>Kolkata</c:v>
                </c:pt>
                <c:pt idx="6">
                  <c:v>Mumbai</c:v>
                </c:pt>
                <c:pt idx="7">
                  <c:v>Pune</c:v>
                </c:pt>
              </c:strCache>
            </c:strRef>
          </c:cat>
          <c:val>
            <c:numRef>
              <c:f>'P-Table'!$D$36:$D$44</c:f>
              <c:numCache>
                <c:formatCode>General</c:formatCode>
                <c:ptCount val="8"/>
                <c:pt idx="0">
                  <c:v>1635300</c:v>
                </c:pt>
                <c:pt idx="1">
                  <c:v>1384900</c:v>
                </c:pt>
                <c:pt idx="2">
                  <c:v>1336400</c:v>
                </c:pt>
                <c:pt idx="3">
                  <c:v>854500</c:v>
                </c:pt>
                <c:pt idx="4">
                  <c:v>427550</c:v>
                </c:pt>
                <c:pt idx="5">
                  <c:v>460050</c:v>
                </c:pt>
                <c:pt idx="6">
                  <c:v>1066000</c:v>
                </c:pt>
                <c:pt idx="7">
                  <c:v>1094240</c:v>
                </c:pt>
              </c:numCache>
            </c:numRef>
          </c:val>
          <c:extLst>
            <c:ext xmlns:c16="http://schemas.microsoft.com/office/drawing/2014/chart" uri="{C3380CC4-5D6E-409C-BE32-E72D297353CC}">
              <c16:uniqueId val="{00000000-7C27-4826-A20D-3F4D97EEA77A}"/>
            </c:ext>
          </c:extLst>
        </c:ser>
        <c:dLbls>
          <c:showLegendKey val="0"/>
          <c:showVal val="0"/>
          <c:showCatName val="0"/>
          <c:showSerName val="0"/>
          <c:showPercent val="0"/>
          <c:showBubbleSize val="0"/>
        </c:dLbls>
        <c:gapWidth val="219"/>
        <c:overlap val="-27"/>
        <c:axId val="1369511008"/>
        <c:axId val="1369512448"/>
      </c:barChart>
      <c:catAx>
        <c:axId val="13695110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95000"/>
                    <a:lumOff val="5000"/>
                  </a:schemeClr>
                </a:solidFill>
                <a:latin typeface="+mn-lt"/>
                <a:ea typeface="+mn-ea"/>
                <a:cs typeface="+mn-cs"/>
              </a:defRPr>
            </a:pPr>
            <a:endParaRPr lang="en-US"/>
          </a:p>
        </c:txPr>
        <c:crossAx val="1369512448"/>
        <c:crosses val="autoZero"/>
        <c:auto val="1"/>
        <c:lblAlgn val="ctr"/>
        <c:lblOffset val="100"/>
        <c:noMultiLvlLbl val="0"/>
      </c:catAx>
      <c:valAx>
        <c:axId val="1369512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US"/>
          </a:p>
        </c:txPr>
        <c:crossAx val="1369511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[COMPUTER STORE SALES.xlsx]P-Table!PivotTable8</c:name>
    <c:fmtId val="25"/>
  </c:pivotSource>
  <c:chart>
    <c:title>
      <c:tx>
        <c:rich>
          <a:bodyPr rot="0" spcFirstLastPara="1" vertOverflow="ellipsis" vert="horz" wrap="square" anchor="ctr" anchorCtr="1"/>
          <a:lstStyle/>
          <a:p>
            <a:pPr>
              <a:defRPr sz="1800" b="1" i="0" u="none" strike="noStrike" kern="1200" spc="0" baseline="0">
                <a:solidFill>
                  <a:schemeClr val="tx1">
                    <a:lumMod val="95000"/>
                    <a:lumOff val="5000"/>
                  </a:schemeClr>
                </a:solidFill>
                <a:latin typeface="Arial Black" panose="020B0A04020102020204" pitchFamily="34" charset="0"/>
                <a:ea typeface="+mn-ea"/>
                <a:cs typeface="+mn-cs"/>
              </a:defRPr>
            </a:pPr>
            <a:r>
              <a:rPr lang="en-IN" sz="1800" b="1" i="0" u="none" strike="noStrike" baseline="0">
                <a:solidFill>
                  <a:schemeClr val="tx1">
                    <a:lumMod val="95000"/>
                    <a:lumOff val="5000"/>
                  </a:schemeClr>
                </a:solidFill>
                <a:effectLst/>
                <a:latin typeface="Arial Black" panose="020B0A04020102020204" pitchFamily="34" charset="0"/>
              </a:rPr>
              <a:t>Quantity Analysis </a:t>
            </a:r>
            <a:endParaRPr lang="en-US" sz="1800" b="1">
              <a:solidFill>
                <a:schemeClr val="tx1">
                  <a:lumMod val="95000"/>
                  <a:lumOff val="5000"/>
                </a:schemeClr>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95000"/>
                  <a:lumOff val="5000"/>
                </a:schemeClr>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'P-Table'!$J$20</c:f>
              <c:strCache>
                <c:ptCount val="1"/>
                <c:pt idx="0">
                  <c:v>Total</c:v>
                </c:pt>
              </c:strCache>
            </c:strRef>
          </c:tx>
          <c:spPr>
            <a:solidFill>
              <a:schemeClr val="accent2">
                <a:lumMod val="75000"/>
              </a:schemeClr>
            </a:solidFill>
            <a:ln>
              <a:noFill/>
            </a:ln>
            <a:effectLst/>
            <a:sp3d/>
          </c:spPr>
          <c:invertIfNegative val="0"/>
          <c:cat>
            <c:strRef>
              <c:f>'P-Table'!$I$21:$I$31</c:f>
              <c:strCache>
                <c:ptCount val="10"/>
                <c:pt idx="0">
                  <c:v>Laptop</c:v>
                </c:pt>
                <c:pt idx="1">
                  <c:v>Mobile</c:v>
                </c:pt>
                <c:pt idx="2">
                  <c:v>Headphones</c:v>
                </c:pt>
                <c:pt idx="3">
                  <c:v>Keyboard</c:v>
                </c:pt>
                <c:pt idx="4">
                  <c:v>Mouse</c:v>
                </c:pt>
                <c:pt idx="5">
                  <c:v>Tablet</c:v>
                </c:pt>
                <c:pt idx="6">
                  <c:v>Microwave</c:v>
                </c:pt>
                <c:pt idx="7">
                  <c:v>Refrigerator</c:v>
                </c:pt>
                <c:pt idx="8">
                  <c:v>Smartwatch</c:v>
                </c:pt>
                <c:pt idx="9">
                  <c:v>TV</c:v>
                </c:pt>
              </c:strCache>
            </c:strRef>
          </c:cat>
          <c:val>
            <c:numRef>
              <c:f>'P-Table'!$J$21:$J$31</c:f>
              <c:numCache>
                <c:formatCode>General</c:formatCode>
                <c:ptCount val="10"/>
                <c:pt idx="0">
                  <c:v>40</c:v>
                </c:pt>
                <c:pt idx="1">
                  <c:v>73</c:v>
                </c:pt>
                <c:pt idx="2">
                  <c:v>92</c:v>
                </c:pt>
                <c:pt idx="3">
                  <c:v>102</c:v>
                </c:pt>
                <c:pt idx="4">
                  <c:v>144</c:v>
                </c:pt>
                <c:pt idx="5">
                  <c:v>25</c:v>
                </c:pt>
                <c:pt idx="6">
                  <c:v>44</c:v>
                </c:pt>
                <c:pt idx="7">
                  <c:v>17</c:v>
                </c:pt>
                <c:pt idx="8">
                  <c:v>71</c:v>
                </c:pt>
                <c:pt idx="9">
                  <c:v>18</c:v>
                </c:pt>
              </c:numCache>
            </c:numRef>
          </c:val>
          <c:extLst>
            <c:ext xmlns:c16="http://schemas.microsoft.com/office/drawing/2014/chart" uri="{C3380CC4-5D6E-409C-BE32-E72D297353CC}">
              <c16:uniqueId val="{00000000-F8C7-45D9-9AC7-D82162A3C9D2}"/>
            </c:ext>
          </c:extLst>
        </c:ser>
        <c:dLbls>
          <c:showLegendKey val="0"/>
          <c:showVal val="0"/>
          <c:showCatName val="0"/>
          <c:showSerName val="0"/>
          <c:showPercent val="0"/>
          <c:showBubbleSize val="0"/>
        </c:dLbls>
        <c:gapWidth val="150"/>
        <c:shape val="box"/>
        <c:axId val="1691496864"/>
        <c:axId val="1691498304"/>
        <c:axId val="0"/>
      </c:bar3DChart>
      <c:catAx>
        <c:axId val="16914968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US"/>
          </a:p>
        </c:txPr>
        <c:crossAx val="1691498304"/>
        <c:crosses val="autoZero"/>
        <c:auto val="1"/>
        <c:lblAlgn val="ctr"/>
        <c:lblOffset val="100"/>
        <c:noMultiLvlLbl val="0"/>
      </c:catAx>
      <c:valAx>
        <c:axId val="16914983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US"/>
          </a:p>
        </c:txPr>
        <c:crossAx val="1691496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[COMPUTER STORE SALES.xlsx]P-Table!PivotTable3</c:name>
    <c:fmtId val="2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900" b="0" i="0" u="none" strike="noStrike" kern="1200" spc="0" baseline="0">
                <a:solidFill>
                  <a:sysClr val="windowText" lastClr="000000">
                    <a:lumMod val="65000"/>
                    <a:lumOff val="35000"/>
                  </a:sysClr>
                </a:solidFill>
                <a:latin typeface="+mn-lt"/>
                <a:ea typeface="+mn-ea"/>
                <a:cs typeface="+mn-cs"/>
              </a:defRPr>
            </a:pPr>
            <a:r>
              <a:rPr lang="en-US" sz="19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Arial Black" panose="020B0A04020102020204" pitchFamily="34" charset="0"/>
              </a:rPr>
              <a:t>Brand-Wise Sales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9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'P-Table'!$N$5</c:f>
              <c:strCache>
                <c:ptCount val="1"/>
                <c:pt idx="0">
                  <c:v>Total</c:v>
                </c:pt>
              </c:strCache>
            </c:strRef>
          </c:tx>
          <c:spPr>
            <a:solidFill>
              <a:schemeClr val="accent6">
                <a:lumMod val="75000"/>
              </a:schemeClr>
            </a:solidFill>
            <a:ln>
              <a:noFill/>
            </a:ln>
            <a:effectLst/>
            <a:sp3d/>
          </c:spPr>
          <c:invertIfNegative val="0"/>
          <c:cat>
            <c:strRef>
              <c:f>'P-Table'!$M$6:$M$19</c:f>
              <c:strCache>
                <c:ptCount val="13"/>
                <c:pt idx="0">
                  <c:v>Apple</c:v>
                </c:pt>
                <c:pt idx="1">
                  <c:v>Dell</c:v>
                </c:pt>
                <c:pt idx="2">
                  <c:v>HP</c:v>
                </c:pt>
                <c:pt idx="3">
                  <c:v>IFB</c:v>
                </c:pt>
                <c:pt idx="4">
                  <c:v>JBL</c:v>
                </c:pt>
                <c:pt idx="5">
                  <c:v>Lenovo</c:v>
                </c:pt>
                <c:pt idx="6">
                  <c:v>LG</c:v>
                </c:pt>
                <c:pt idx="7">
                  <c:v>Logitech</c:v>
                </c:pt>
                <c:pt idx="8">
                  <c:v>Noise</c:v>
                </c:pt>
                <c:pt idx="9">
                  <c:v>Samsung</c:v>
                </c:pt>
                <c:pt idx="10">
                  <c:v>Sony</c:v>
                </c:pt>
                <c:pt idx="11">
                  <c:v>Vivo</c:v>
                </c:pt>
                <c:pt idx="12">
                  <c:v>Whirlpool</c:v>
                </c:pt>
              </c:strCache>
            </c:strRef>
          </c:cat>
          <c:val>
            <c:numRef>
              <c:f>'P-Table'!$N$6:$N$19</c:f>
              <c:numCache>
                <c:formatCode>General</c:formatCode>
                <c:ptCount val="13"/>
                <c:pt idx="0">
                  <c:v>977000</c:v>
                </c:pt>
                <c:pt idx="1">
                  <c:v>827500</c:v>
                </c:pt>
                <c:pt idx="2">
                  <c:v>473400</c:v>
                </c:pt>
                <c:pt idx="3">
                  <c:v>403800</c:v>
                </c:pt>
                <c:pt idx="4">
                  <c:v>87150</c:v>
                </c:pt>
                <c:pt idx="5">
                  <c:v>1494500</c:v>
                </c:pt>
                <c:pt idx="6">
                  <c:v>815500</c:v>
                </c:pt>
                <c:pt idx="7">
                  <c:v>207790</c:v>
                </c:pt>
                <c:pt idx="8">
                  <c:v>373700</c:v>
                </c:pt>
                <c:pt idx="9">
                  <c:v>1864300</c:v>
                </c:pt>
                <c:pt idx="10">
                  <c:v>247500</c:v>
                </c:pt>
                <c:pt idx="11">
                  <c:v>328500</c:v>
                </c:pt>
                <c:pt idx="12">
                  <c:v>158300</c:v>
                </c:pt>
              </c:numCache>
            </c:numRef>
          </c:val>
          <c:extLst>
            <c:ext xmlns:c16="http://schemas.microsoft.com/office/drawing/2014/chart" uri="{C3380CC4-5D6E-409C-BE32-E72D297353CC}">
              <c16:uniqueId val="{00000000-7619-4C37-A913-D9934EB80DB2}"/>
            </c:ext>
          </c:extLst>
        </c:ser>
        <c:dLbls>
          <c:showLegendKey val="0"/>
          <c:showVal val="0"/>
          <c:showCatName val="0"/>
          <c:showSerName val="0"/>
          <c:showPercent val="0"/>
          <c:showBubbleSize val="0"/>
        </c:dLbls>
        <c:gapWidth val="150"/>
        <c:shape val="box"/>
        <c:axId val="1577449808"/>
        <c:axId val="1577457488"/>
        <c:axId val="0"/>
      </c:bar3DChart>
      <c:catAx>
        <c:axId val="15774498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577457488"/>
        <c:crosses val="autoZero"/>
        <c:auto val="1"/>
        <c:lblAlgn val="ctr"/>
        <c:lblOffset val="100"/>
        <c:noMultiLvlLbl val="0"/>
      </c:catAx>
      <c:valAx>
        <c:axId val="15774574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577449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[COMPUTER STORE SALES.xlsx]P-Table!PivotTable11</c:name>
    <c:fmtId val="15"/>
  </c:pivotSource>
  <c:chart>
    <c:title>
      <c:tx>
        <c:rich>
          <a:bodyPr rot="0" spcFirstLastPara="1" vertOverflow="ellipsis" vert="horz" wrap="square" anchor="ctr" anchorCtr="1"/>
          <a:lstStyle/>
          <a:p>
            <a:pPr>
              <a:defRPr sz="1900" b="1" i="0" u="none" strike="noStrike" kern="1200" baseline="0">
                <a:solidFill>
                  <a:schemeClr val="dk1">
                    <a:lumMod val="75000"/>
                    <a:lumOff val="25000"/>
                  </a:schemeClr>
                </a:solidFill>
                <a:latin typeface="+mn-lt"/>
                <a:ea typeface="+mn-ea"/>
                <a:cs typeface="+mn-cs"/>
              </a:defRPr>
            </a:pPr>
            <a:r>
              <a:rPr lang="en-IN" sz="1800">
                <a:latin typeface="Arial Black" panose="020B0A04020102020204" pitchFamily="34" charset="0"/>
              </a:rPr>
              <a:t>Product Demand Analysis</a:t>
            </a:r>
            <a:endParaRPr lang="en-US" sz="1800">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9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E9473"/>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'P-Table'!$G$20</c:f>
              <c:strCache>
                <c:ptCount val="1"/>
                <c:pt idx="0">
                  <c:v>Total</c:v>
                </c:pt>
              </c:strCache>
            </c:strRef>
          </c:tx>
          <c:spPr>
            <a:solidFill>
              <a:srgbClr val="3E9473"/>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'P-Table'!$F$21:$F$31</c:f>
              <c:strCache>
                <c:ptCount val="10"/>
                <c:pt idx="0">
                  <c:v>Laptop</c:v>
                </c:pt>
                <c:pt idx="1">
                  <c:v>Mobile</c:v>
                </c:pt>
                <c:pt idx="2">
                  <c:v>Headphones</c:v>
                </c:pt>
                <c:pt idx="3">
                  <c:v>Keyboard</c:v>
                </c:pt>
                <c:pt idx="4">
                  <c:v>Mouse</c:v>
                </c:pt>
                <c:pt idx="5">
                  <c:v>Tablet</c:v>
                </c:pt>
                <c:pt idx="6">
                  <c:v>Microwave</c:v>
                </c:pt>
                <c:pt idx="7">
                  <c:v>Refrigerator</c:v>
                </c:pt>
                <c:pt idx="8">
                  <c:v>Smartwatch</c:v>
                </c:pt>
                <c:pt idx="9">
                  <c:v>TV</c:v>
                </c:pt>
              </c:strCache>
            </c:strRef>
          </c:cat>
          <c:val>
            <c:numRef>
              <c:f>'P-Table'!$G$21:$G$31</c:f>
              <c:numCache>
                <c:formatCode>General</c:formatCode>
                <c:ptCount val="10"/>
                <c:pt idx="0">
                  <c:v>40</c:v>
                </c:pt>
                <c:pt idx="1">
                  <c:v>73</c:v>
                </c:pt>
                <c:pt idx="2">
                  <c:v>92</c:v>
                </c:pt>
                <c:pt idx="3">
                  <c:v>102</c:v>
                </c:pt>
                <c:pt idx="4">
                  <c:v>144</c:v>
                </c:pt>
                <c:pt idx="5">
                  <c:v>25</c:v>
                </c:pt>
                <c:pt idx="6">
                  <c:v>44</c:v>
                </c:pt>
                <c:pt idx="7">
                  <c:v>17</c:v>
                </c:pt>
                <c:pt idx="8">
                  <c:v>71</c:v>
                </c:pt>
                <c:pt idx="9">
                  <c:v>18</c:v>
                </c:pt>
              </c:numCache>
            </c:numRef>
          </c:val>
          <c:extLst>
            <c:ext xmlns:c16="http://schemas.microsoft.com/office/drawing/2014/chart" uri="{C3380CC4-5D6E-409C-BE32-E72D297353CC}">
              <c16:uniqueId val="{00000000-8964-4F5B-AB67-42586E4D20F3}"/>
            </c:ext>
          </c:extLst>
        </c:ser>
        <c:dLbls>
          <c:showLegendKey val="0"/>
          <c:showVal val="0"/>
          <c:showCatName val="0"/>
          <c:showSerName val="0"/>
          <c:showPercent val="0"/>
          <c:showBubbleSize val="0"/>
        </c:dLbls>
        <c:gapWidth val="65"/>
        <c:shape val="box"/>
        <c:axId val="1726785296"/>
        <c:axId val="1726797296"/>
        <c:axId val="0"/>
      </c:bar3DChart>
      <c:catAx>
        <c:axId val="172678529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000" b="1" i="0" u="none" strike="noStrike" kern="1200" cap="all" baseline="0">
                <a:solidFill>
                  <a:schemeClr val="tx1"/>
                </a:solidFill>
                <a:latin typeface="+mn-lt"/>
                <a:ea typeface="+mn-ea"/>
                <a:cs typeface="+mn-cs"/>
              </a:defRPr>
            </a:pPr>
            <a:endParaRPr lang="en-US"/>
          </a:p>
        </c:txPr>
        <c:crossAx val="1726797296"/>
        <c:crosses val="autoZero"/>
        <c:auto val="1"/>
        <c:lblAlgn val="ctr"/>
        <c:lblOffset val="100"/>
        <c:noMultiLvlLbl val="0"/>
      </c:catAx>
      <c:valAx>
        <c:axId val="1726797296"/>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72678529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emf"/><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393989</xdr:colOff>
      <xdr:row>15</xdr:row>
      <xdr:rowOff>103916</xdr:rowOff>
    </xdr:from>
    <xdr:to>
      <xdr:col>9</xdr:col>
      <xdr:colOff>831273</xdr:colOff>
      <xdr:row>29</xdr:row>
      <xdr:rowOff>161642</xdr:rowOff>
    </xdr:to>
    <xdr:graphicFrame macro="">
      <xdr:nvGraphicFramePr>
        <xdr:cNvPr id="2" name="Chart 1">
          <a:extLst>
            <a:ext uri="{FF2B5EF4-FFF2-40B4-BE49-F238E27FC236}">
              <a16:creationId xmlns:a16="http://schemas.microsoft.com/office/drawing/2014/main" id="{08F7DE26-8D14-447B-8712-83F31B29D8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1142999</xdr:colOff>
      <xdr:row>16</xdr:row>
      <xdr:rowOff>11551</xdr:rowOff>
    </xdr:from>
    <xdr:to>
      <xdr:col>18</xdr:col>
      <xdr:colOff>46182</xdr:colOff>
      <xdr:row>30</xdr:row>
      <xdr:rowOff>11551</xdr:rowOff>
    </xdr:to>
    <xdr:graphicFrame macro="">
      <xdr:nvGraphicFramePr>
        <xdr:cNvPr id="3" name="Chart 2">
          <a:extLst>
            <a:ext uri="{FF2B5EF4-FFF2-40B4-BE49-F238E27FC236}">
              <a16:creationId xmlns:a16="http://schemas.microsoft.com/office/drawing/2014/main" id="{D577B4B9-04F8-49B3-AF52-BAD01FCC19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265544</xdr:colOff>
      <xdr:row>16</xdr:row>
      <xdr:rowOff>11549</xdr:rowOff>
    </xdr:from>
    <xdr:to>
      <xdr:col>23</xdr:col>
      <xdr:colOff>196271</xdr:colOff>
      <xdr:row>46</xdr:row>
      <xdr:rowOff>34642</xdr:rowOff>
    </xdr:to>
    <xdr:graphicFrame macro="">
      <xdr:nvGraphicFramePr>
        <xdr:cNvPr id="4" name="Chart 3">
          <a:extLst>
            <a:ext uri="{FF2B5EF4-FFF2-40B4-BE49-F238E27FC236}">
              <a16:creationId xmlns:a16="http://schemas.microsoft.com/office/drawing/2014/main" id="{F29A4438-F6F6-4B8C-9797-486A1C046B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1154546</xdr:colOff>
      <xdr:row>31</xdr:row>
      <xdr:rowOff>47633</xdr:rowOff>
    </xdr:from>
    <xdr:to>
      <xdr:col>18</xdr:col>
      <xdr:colOff>34637</xdr:colOff>
      <xdr:row>46</xdr:row>
      <xdr:rowOff>34642</xdr:rowOff>
    </xdr:to>
    <xdr:graphicFrame macro="">
      <xdr:nvGraphicFramePr>
        <xdr:cNvPr id="5" name="Chart 4">
          <a:extLst>
            <a:ext uri="{FF2B5EF4-FFF2-40B4-BE49-F238E27FC236}">
              <a16:creationId xmlns:a16="http://schemas.microsoft.com/office/drawing/2014/main" id="{C140A883-19CA-4A40-93B4-6D1905869E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127000</xdr:colOff>
      <xdr:row>6</xdr:row>
      <xdr:rowOff>44451</xdr:rowOff>
    </xdr:from>
    <xdr:to>
      <xdr:col>4</xdr:col>
      <xdr:colOff>224564</xdr:colOff>
      <xdr:row>22</xdr:row>
      <xdr:rowOff>150091</xdr:rowOff>
    </xdr:to>
    <mc:AlternateContent xmlns:mc="http://schemas.openxmlformats.org/markup-compatibility/2006" xmlns:a14="http://schemas.microsoft.com/office/drawing/2010/main">
      <mc:Choice Requires="a14">
        <xdr:graphicFrame macro="">
          <xdr:nvGraphicFramePr>
            <xdr:cNvPr id="7" name="Months (Date)">
              <a:extLst>
                <a:ext uri="{FF2B5EF4-FFF2-40B4-BE49-F238E27FC236}">
                  <a16:creationId xmlns:a16="http://schemas.microsoft.com/office/drawing/2014/main" id="{E2C61A52-1A6E-A118-2AFF-2446C7593321}"/>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127000" y="1152815"/>
              <a:ext cx="2545200" cy="30612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115454</xdr:colOff>
      <xdr:row>24</xdr:row>
      <xdr:rowOff>48774</xdr:rowOff>
    </xdr:from>
    <xdr:to>
      <xdr:col>4</xdr:col>
      <xdr:colOff>237394</xdr:colOff>
      <xdr:row>40</xdr:row>
      <xdr:rowOff>23090</xdr:rowOff>
    </xdr:to>
    <mc:AlternateContent xmlns:mc="http://schemas.openxmlformats.org/markup-compatibility/2006" xmlns:a14="http://schemas.microsoft.com/office/drawing/2010/main">
      <mc:Choice Requires="a14">
        <xdr:graphicFrame macro="">
          <xdr:nvGraphicFramePr>
            <xdr:cNvPr id="8" name="Product">
              <a:extLst>
                <a:ext uri="{FF2B5EF4-FFF2-40B4-BE49-F238E27FC236}">
                  <a16:creationId xmlns:a16="http://schemas.microsoft.com/office/drawing/2014/main" id="{7768F761-ABD0-8181-E32B-D5A9339FC2C4}"/>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15454" y="4482229"/>
              <a:ext cx="2569576" cy="29299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103909</xdr:colOff>
      <xdr:row>41</xdr:row>
      <xdr:rowOff>28577</xdr:rowOff>
    </xdr:from>
    <xdr:to>
      <xdr:col>4</xdr:col>
      <xdr:colOff>200315</xdr:colOff>
      <xdr:row>57</xdr:row>
      <xdr:rowOff>-1</xdr:rowOff>
    </xdr:to>
    <mc:AlternateContent xmlns:mc="http://schemas.openxmlformats.org/markup-compatibility/2006" xmlns:a14="http://schemas.microsoft.com/office/drawing/2010/main">
      <mc:Choice Requires="a14">
        <xdr:graphicFrame macro="">
          <xdr:nvGraphicFramePr>
            <xdr:cNvPr id="9" name="Brand">
              <a:extLst>
                <a:ext uri="{FF2B5EF4-FFF2-40B4-BE49-F238E27FC236}">
                  <a16:creationId xmlns:a16="http://schemas.microsoft.com/office/drawing/2014/main" id="{6BB97F4A-AC3B-5D85-D2C6-2A1A27729F49}"/>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103909" y="7602395"/>
              <a:ext cx="2544042" cy="29270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588819</xdr:colOff>
      <xdr:row>47</xdr:row>
      <xdr:rowOff>126998</xdr:rowOff>
    </xdr:from>
    <xdr:to>
      <xdr:col>6</xdr:col>
      <xdr:colOff>1258454</xdr:colOff>
      <xdr:row>59</xdr:row>
      <xdr:rowOff>92362</xdr:rowOff>
    </xdr:to>
    <mc:AlternateContent xmlns:mc="http://schemas.openxmlformats.org/markup-compatibility/2006" xmlns:a14="http://schemas.microsoft.com/office/drawing/2010/main">
      <mc:Choice Requires="a14">
        <xdr:graphicFrame macro="">
          <xdr:nvGraphicFramePr>
            <xdr:cNvPr id="10" name="City">
              <a:extLst>
                <a:ext uri="{FF2B5EF4-FFF2-40B4-BE49-F238E27FC236}">
                  <a16:creationId xmlns:a16="http://schemas.microsoft.com/office/drawing/2014/main" id="{872A6956-813A-5077-5300-D7CE258C7E3F}"/>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3036455" y="8809180"/>
              <a:ext cx="2863272" cy="21820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311734</xdr:colOff>
      <xdr:row>5</xdr:row>
      <xdr:rowOff>80818</xdr:rowOff>
    </xdr:from>
    <xdr:to>
      <xdr:col>6</xdr:col>
      <xdr:colOff>1610006</xdr:colOff>
      <xdr:row>15</xdr:row>
      <xdr:rowOff>33545</xdr:rowOff>
    </xdr:to>
    <xdr:sp macro="" textlink="">
      <xdr:nvSpPr>
        <xdr:cNvPr id="12" name="Rectangle: Rounded Corners 11">
          <a:extLst>
            <a:ext uri="{FF2B5EF4-FFF2-40B4-BE49-F238E27FC236}">
              <a16:creationId xmlns:a16="http://schemas.microsoft.com/office/drawing/2014/main" id="{26529365-A119-212F-8F7A-20BFD7B610B8}"/>
            </a:ext>
          </a:extLst>
        </xdr:cNvPr>
        <xdr:cNvSpPr/>
      </xdr:nvSpPr>
      <xdr:spPr>
        <a:xfrm>
          <a:off x="3371279" y="1004454"/>
          <a:ext cx="2880000" cy="1800000"/>
        </a:xfrm>
        <a:prstGeom prst="roundRect">
          <a:avLst/>
        </a:prstGeom>
        <a:solidFill>
          <a:schemeClr val="bg1"/>
        </a:solidFill>
        <a:effectLst>
          <a:outerShdw blurRad="50800" dist="38100" dir="5400000" algn="t" rotWithShape="0">
            <a:prstClr val="black">
              <a:alpha val="40000"/>
            </a:prstClr>
          </a:outerShdw>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0</xdr:colOff>
      <xdr:row>0</xdr:row>
      <xdr:rowOff>1</xdr:rowOff>
    </xdr:from>
    <xdr:to>
      <xdr:col>25</xdr:col>
      <xdr:colOff>46179</xdr:colOff>
      <xdr:row>5</xdr:row>
      <xdr:rowOff>11547</xdr:rowOff>
    </xdr:to>
    <xdr:sp macro="" textlink="">
      <xdr:nvSpPr>
        <xdr:cNvPr id="13" name="Rectangle 12">
          <a:extLst>
            <a:ext uri="{FF2B5EF4-FFF2-40B4-BE49-F238E27FC236}">
              <a16:creationId xmlns:a16="http://schemas.microsoft.com/office/drawing/2014/main" id="{3F2CF17D-03E1-E5F7-6947-261629BFEEF9}"/>
            </a:ext>
          </a:extLst>
        </xdr:cNvPr>
        <xdr:cNvSpPr/>
      </xdr:nvSpPr>
      <xdr:spPr>
        <a:xfrm>
          <a:off x="0" y="1"/>
          <a:ext cx="22305815" cy="935182"/>
        </a:xfrm>
        <a:prstGeom prst="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i="0">
              <a:solidFill>
                <a:schemeClr val="lt1"/>
              </a:solidFill>
              <a:effectLst/>
              <a:latin typeface="+mn-lt"/>
              <a:ea typeface="+mn-ea"/>
              <a:cs typeface="+mn-cs"/>
            </a:rPr>
            <a:t>COMPUTER STORE SALES DASHBOARD - 2025</a:t>
          </a:r>
          <a:endParaRPr lang="en-IN" sz="3200" b="1"/>
        </a:p>
      </xdr:txBody>
    </xdr:sp>
    <xdr:clientData/>
  </xdr:twoCellAnchor>
  <xdr:twoCellAnchor>
    <xdr:from>
      <xdr:col>5</xdr:col>
      <xdr:colOff>311734</xdr:colOff>
      <xdr:row>6</xdr:row>
      <xdr:rowOff>115454</xdr:rowOff>
    </xdr:from>
    <xdr:to>
      <xdr:col>6</xdr:col>
      <xdr:colOff>1616363</xdr:colOff>
      <xdr:row>9</xdr:row>
      <xdr:rowOff>25673</xdr:rowOff>
    </xdr:to>
    <xdr:sp macro="" textlink="">
      <xdr:nvSpPr>
        <xdr:cNvPr id="14" name="TextBox 13">
          <a:extLst>
            <a:ext uri="{FF2B5EF4-FFF2-40B4-BE49-F238E27FC236}">
              <a16:creationId xmlns:a16="http://schemas.microsoft.com/office/drawing/2014/main" id="{5D3C2308-E264-4680-E4C8-3C93CBD2D888}"/>
            </a:ext>
          </a:extLst>
        </xdr:cNvPr>
        <xdr:cNvSpPr txBox="1"/>
      </xdr:nvSpPr>
      <xdr:spPr>
        <a:xfrm>
          <a:off x="3371279" y="1223818"/>
          <a:ext cx="2886357" cy="464400"/>
        </a:xfrm>
        <a:prstGeom prst="rect">
          <a:avLst/>
        </a:prstGeom>
        <a:solidFill>
          <a:schemeClr val="tx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solidFill>
                <a:schemeClr val="bg1"/>
              </a:solidFill>
            </a:rPr>
            <a:t>Totla</a:t>
          </a:r>
          <a:r>
            <a:rPr lang="en-IN" sz="2000" b="1" baseline="0">
              <a:solidFill>
                <a:schemeClr val="bg1"/>
              </a:solidFill>
            </a:rPr>
            <a:t> Sales </a:t>
          </a:r>
        </a:p>
      </xdr:txBody>
    </xdr:sp>
    <xdr:clientData/>
  </xdr:twoCellAnchor>
  <xdr:twoCellAnchor>
    <xdr:from>
      <xdr:col>5</xdr:col>
      <xdr:colOff>288643</xdr:colOff>
      <xdr:row>10</xdr:row>
      <xdr:rowOff>103908</xdr:rowOff>
    </xdr:from>
    <xdr:to>
      <xdr:col>6</xdr:col>
      <xdr:colOff>1604818</xdr:colOff>
      <xdr:row>13</xdr:row>
      <xdr:rowOff>34635</xdr:rowOff>
    </xdr:to>
    <xdr:sp macro="" textlink="">
      <xdr:nvSpPr>
        <xdr:cNvPr id="15" name="TextBox 14">
          <a:extLst>
            <a:ext uri="{FF2B5EF4-FFF2-40B4-BE49-F238E27FC236}">
              <a16:creationId xmlns:a16="http://schemas.microsoft.com/office/drawing/2014/main" id="{385B4CC6-EDA9-2989-5428-E8851D0B1C83}"/>
            </a:ext>
          </a:extLst>
        </xdr:cNvPr>
        <xdr:cNvSpPr txBox="1"/>
      </xdr:nvSpPr>
      <xdr:spPr>
        <a:xfrm>
          <a:off x="3348188" y="1951181"/>
          <a:ext cx="2897903" cy="484909"/>
        </a:xfrm>
        <a:prstGeom prst="rect">
          <a:avLst/>
        </a:prstGeom>
        <a:solidFill>
          <a:schemeClr val="tx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400" b="1">
              <a:solidFill>
                <a:schemeClr val="bg1"/>
              </a:solidFill>
              <a:effectLst/>
              <a:latin typeface="+mn-lt"/>
              <a:ea typeface="+mn-ea"/>
              <a:cs typeface="+mn-cs"/>
            </a:rPr>
            <a:t>82.59 Lakh</a:t>
          </a:r>
          <a:br>
            <a:rPr lang="en-IN" sz="1100" b="1">
              <a:solidFill>
                <a:schemeClr val="bg1"/>
              </a:solidFill>
              <a:effectLst/>
              <a:latin typeface="+mn-lt"/>
              <a:ea typeface="+mn-ea"/>
              <a:cs typeface="+mn-cs"/>
            </a:rPr>
          </a:br>
          <a:br>
            <a:rPr lang="en-IN" sz="1100" b="1">
              <a:solidFill>
                <a:schemeClr val="bg1"/>
              </a:solidFill>
              <a:effectLst/>
              <a:latin typeface="+mn-lt"/>
              <a:ea typeface="+mn-ea"/>
              <a:cs typeface="+mn-cs"/>
            </a:rPr>
          </a:br>
          <a:endParaRPr lang="en-IN" b="1">
            <a:solidFill>
              <a:schemeClr val="bg1"/>
            </a:solidFill>
            <a:effectLst/>
          </a:endParaRPr>
        </a:p>
        <a:p>
          <a:pPr algn="ctr"/>
          <a:endParaRPr lang="en-IN" sz="1100" b="1">
            <a:solidFill>
              <a:schemeClr val="bg1"/>
            </a:solidFill>
          </a:endParaRPr>
        </a:p>
      </xdr:txBody>
    </xdr:sp>
    <xdr:clientData/>
  </xdr:twoCellAnchor>
  <xdr:twoCellAnchor>
    <xdr:from>
      <xdr:col>7</xdr:col>
      <xdr:colOff>173184</xdr:colOff>
      <xdr:row>5</xdr:row>
      <xdr:rowOff>80818</xdr:rowOff>
    </xdr:from>
    <xdr:to>
      <xdr:col>9</xdr:col>
      <xdr:colOff>547820</xdr:colOff>
      <xdr:row>15</xdr:row>
      <xdr:rowOff>33545</xdr:rowOff>
    </xdr:to>
    <xdr:sp macro="" textlink="">
      <xdr:nvSpPr>
        <xdr:cNvPr id="16" name="Rectangle: Rounded Corners 15">
          <a:extLst>
            <a:ext uri="{FF2B5EF4-FFF2-40B4-BE49-F238E27FC236}">
              <a16:creationId xmlns:a16="http://schemas.microsoft.com/office/drawing/2014/main" id="{51362BAB-627B-4F18-8E79-C569147CD5D1}"/>
            </a:ext>
          </a:extLst>
        </xdr:cNvPr>
        <xdr:cNvSpPr/>
      </xdr:nvSpPr>
      <xdr:spPr>
        <a:xfrm>
          <a:off x="6731002" y="1004454"/>
          <a:ext cx="2880000" cy="1800000"/>
        </a:xfrm>
        <a:prstGeom prst="roundRect">
          <a:avLst/>
        </a:prstGeom>
        <a:solidFill>
          <a:schemeClr val="bg1"/>
        </a:solidFill>
        <a:effectLst>
          <a:outerShdw blurRad="50800" dist="38100" dir="5400000" algn="t" rotWithShape="0">
            <a:prstClr val="black">
              <a:alpha val="40000"/>
            </a:prstClr>
          </a:outerShdw>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173183</xdr:colOff>
      <xdr:row>6</xdr:row>
      <xdr:rowOff>138547</xdr:rowOff>
    </xdr:from>
    <xdr:to>
      <xdr:col>9</xdr:col>
      <xdr:colOff>542636</xdr:colOff>
      <xdr:row>9</xdr:row>
      <xdr:rowOff>48766</xdr:rowOff>
    </xdr:to>
    <xdr:sp macro="" textlink="">
      <xdr:nvSpPr>
        <xdr:cNvPr id="18" name="TextBox 17">
          <a:extLst>
            <a:ext uri="{FF2B5EF4-FFF2-40B4-BE49-F238E27FC236}">
              <a16:creationId xmlns:a16="http://schemas.microsoft.com/office/drawing/2014/main" id="{4F6D8F7F-D671-4B39-BDF6-14223C18988D}"/>
            </a:ext>
          </a:extLst>
        </xdr:cNvPr>
        <xdr:cNvSpPr txBox="1"/>
      </xdr:nvSpPr>
      <xdr:spPr>
        <a:xfrm>
          <a:off x="6731001" y="1246911"/>
          <a:ext cx="2874817" cy="464400"/>
        </a:xfrm>
        <a:prstGeom prst="rect">
          <a:avLst/>
        </a:prstGeom>
        <a:solidFill>
          <a:schemeClr val="tx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i="0">
              <a:solidFill>
                <a:schemeClr val="bg1"/>
              </a:solidFill>
              <a:effectLst/>
              <a:latin typeface="+mn-lt"/>
              <a:ea typeface="+mn-ea"/>
              <a:cs typeface="+mn-cs"/>
            </a:rPr>
            <a:t>TOTAL QUANTITY SOLD</a:t>
          </a:r>
          <a:endParaRPr lang="en-IN" sz="4000" b="1" baseline="0">
            <a:solidFill>
              <a:schemeClr val="bg1"/>
            </a:solidFill>
          </a:endParaRPr>
        </a:p>
      </xdr:txBody>
    </xdr:sp>
    <xdr:clientData/>
  </xdr:twoCellAnchor>
  <xdr:twoCellAnchor>
    <xdr:from>
      <xdr:col>7</xdr:col>
      <xdr:colOff>173182</xdr:colOff>
      <xdr:row>10</xdr:row>
      <xdr:rowOff>92365</xdr:rowOff>
    </xdr:from>
    <xdr:to>
      <xdr:col>9</xdr:col>
      <xdr:colOff>565727</xdr:colOff>
      <xdr:row>13</xdr:row>
      <xdr:rowOff>23092</xdr:rowOff>
    </xdr:to>
    <xdr:sp macro="" textlink="">
      <xdr:nvSpPr>
        <xdr:cNvPr id="19" name="TextBox 18">
          <a:extLst>
            <a:ext uri="{FF2B5EF4-FFF2-40B4-BE49-F238E27FC236}">
              <a16:creationId xmlns:a16="http://schemas.microsoft.com/office/drawing/2014/main" id="{335B5BED-3517-4925-9E8A-48C1B8192FCB}"/>
            </a:ext>
          </a:extLst>
        </xdr:cNvPr>
        <xdr:cNvSpPr txBox="1"/>
      </xdr:nvSpPr>
      <xdr:spPr>
        <a:xfrm>
          <a:off x="6731000" y="1939638"/>
          <a:ext cx="2897909" cy="484909"/>
        </a:xfrm>
        <a:prstGeom prst="rect">
          <a:avLst/>
        </a:prstGeom>
        <a:solidFill>
          <a:schemeClr val="tx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1" i="0">
              <a:solidFill>
                <a:schemeClr val="bg1"/>
              </a:solidFill>
              <a:effectLst/>
              <a:latin typeface="+mn-lt"/>
              <a:ea typeface="+mn-ea"/>
              <a:cs typeface="+mn-cs"/>
            </a:rPr>
            <a:t>6,979</a:t>
          </a:r>
          <a:endParaRPr lang="en-IN" sz="2000" b="1">
            <a:solidFill>
              <a:schemeClr val="bg1"/>
            </a:solidFill>
          </a:endParaRPr>
        </a:p>
      </xdr:txBody>
    </xdr:sp>
    <xdr:clientData/>
  </xdr:twoCellAnchor>
  <xdr:twoCellAnchor>
    <xdr:from>
      <xdr:col>9</xdr:col>
      <xdr:colOff>1096816</xdr:colOff>
      <xdr:row>5</xdr:row>
      <xdr:rowOff>80819</xdr:rowOff>
    </xdr:from>
    <xdr:to>
      <xdr:col>13</xdr:col>
      <xdr:colOff>339998</xdr:colOff>
      <xdr:row>15</xdr:row>
      <xdr:rowOff>33546</xdr:rowOff>
    </xdr:to>
    <xdr:sp macro="" textlink="">
      <xdr:nvSpPr>
        <xdr:cNvPr id="20" name="Rectangle: Rounded Corners 19">
          <a:extLst>
            <a:ext uri="{FF2B5EF4-FFF2-40B4-BE49-F238E27FC236}">
              <a16:creationId xmlns:a16="http://schemas.microsoft.com/office/drawing/2014/main" id="{107D12EA-6673-4B23-BC28-FE47B03CE20C}"/>
            </a:ext>
          </a:extLst>
        </xdr:cNvPr>
        <xdr:cNvSpPr/>
      </xdr:nvSpPr>
      <xdr:spPr>
        <a:xfrm>
          <a:off x="10159998" y="1004455"/>
          <a:ext cx="2880000" cy="1800000"/>
        </a:xfrm>
        <a:prstGeom prst="roundRect">
          <a:avLst/>
        </a:prstGeom>
        <a:solidFill>
          <a:schemeClr val="bg1"/>
        </a:solidFill>
        <a:effectLst>
          <a:outerShdw blurRad="50800" dist="38100" dir="5400000" algn="t" rotWithShape="0">
            <a:prstClr val="black">
              <a:alpha val="40000"/>
            </a:prstClr>
          </a:outerShdw>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1085272</xdr:colOff>
      <xdr:row>6</xdr:row>
      <xdr:rowOff>150094</xdr:rowOff>
    </xdr:from>
    <xdr:to>
      <xdr:col>13</xdr:col>
      <xdr:colOff>334818</xdr:colOff>
      <xdr:row>9</xdr:row>
      <xdr:rowOff>60313</xdr:rowOff>
    </xdr:to>
    <xdr:sp macro="" textlink="">
      <xdr:nvSpPr>
        <xdr:cNvPr id="21" name="TextBox 20">
          <a:extLst>
            <a:ext uri="{FF2B5EF4-FFF2-40B4-BE49-F238E27FC236}">
              <a16:creationId xmlns:a16="http://schemas.microsoft.com/office/drawing/2014/main" id="{E6D0DDF7-60D5-4396-A972-EB740226BBD3}"/>
            </a:ext>
          </a:extLst>
        </xdr:cNvPr>
        <xdr:cNvSpPr txBox="1"/>
      </xdr:nvSpPr>
      <xdr:spPr>
        <a:xfrm>
          <a:off x="10148454" y="1258458"/>
          <a:ext cx="2886364" cy="464400"/>
        </a:xfrm>
        <a:prstGeom prst="rect">
          <a:avLst/>
        </a:prstGeom>
        <a:solidFill>
          <a:schemeClr val="tx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i="0">
              <a:solidFill>
                <a:schemeClr val="bg1"/>
              </a:solidFill>
              <a:effectLst/>
              <a:latin typeface="+mn-lt"/>
              <a:ea typeface="+mn-ea"/>
              <a:cs typeface="+mn-cs"/>
            </a:rPr>
            <a:t>TOP PRODUCT</a:t>
          </a:r>
          <a:endParaRPr lang="en-IN" sz="2000" b="1" baseline="0">
            <a:solidFill>
              <a:schemeClr val="bg1"/>
            </a:solidFill>
          </a:endParaRPr>
        </a:p>
      </xdr:txBody>
    </xdr:sp>
    <xdr:clientData/>
  </xdr:twoCellAnchor>
  <xdr:twoCellAnchor>
    <xdr:from>
      <xdr:col>9</xdr:col>
      <xdr:colOff>1096818</xdr:colOff>
      <xdr:row>10</xdr:row>
      <xdr:rowOff>127000</xdr:rowOff>
    </xdr:from>
    <xdr:to>
      <xdr:col>13</xdr:col>
      <xdr:colOff>346364</xdr:colOff>
      <xdr:row>13</xdr:row>
      <xdr:rowOff>57727</xdr:rowOff>
    </xdr:to>
    <xdr:sp macro="" textlink="">
      <xdr:nvSpPr>
        <xdr:cNvPr id="23" name="TextBox 22">
          <a:extLst>
            <a:ext uri="{FF2B5EF4-FFF2-40B4-BE49-F238E27FC236}">
              <a16:creationId xmlns:a16="http://schemas.microsoft.com/office/drawing/2014/main" id="{D02E7DEF-0536-4104-8D57-D01F0EA2F6E4}"/>
            </a:ext>
          </a:extLst>
        </xdr:cNvPr>
        <xdr:cNvSpPr txBox="1"/>
      </xdr:nvSpPr>
      <xdr:spPr>
        <a:xfrm>
          <a:off x="10160000" y="1974273"/>
          <a:ext cx="2886364" cy="484909"/>
        </a:xfrm>
        <a:prstGeom prst="rect">
          <a:avLst/>
        </a:prstGeom>
        <a:solidFill>
          <a:schemeClr val="tx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1" i="0">
              <a:solidFill>
                <a:schemeClr val="bg1"/>
              </a:solidFill>
              <a:effectLst/>
              <a:latin typeface="+mn-lt"/>
              <a:ea typeface="+mn-ea"/>
              <a:cs typeface="+mn-cs"/>
            </a:rPr>
            <a:t>Laptop</a:t>
          </a:r>
          <a:endParaRPr lang="en-IN" sz="2000" b="1">
            <a:solidFill>
              <a:schemeClr val="bg1"/>
            </a:solidFill>
          </a:endParaRPr>
        </a:p>
      </xdr:txBody>
    </xdr:sp>
    <xdr:clientData/>
  </xdr:twoCellAnchor>
  <xdr:twoCellAnchor>
    <xdr:from>
      <xdr:col>13</xdr:col>
      <xdr:colOff>854363</xdr:colOff>
      <xdr:row>5</xdr:row>
      <xdr:rowOff>80816</xdr:rowOff>
    </xdr:from>
    <xdr:to>
      <xdr:col>17</xdr:col>
      <xdr:colOff>443908</xdr:colOff>
      <xdr:row>15</xdr:row>
      <xdr:rowOff>33543</xdr:rowOff>
    </xdr:to>
    <xdr:sp macro="" textlink="">
      <xdr:nvSpPr>
        <xdr:cNvPr id="24" name="Rectangle: Rounded Corners 23">
          <a:extLst>
            <a:ext uri="{FF2B5EF4-FFF2-40B4-BE49-F238E27FC236}">
              <a16:creationId xmlns:a16="http://schemas.microsoft.com/office/drawing/2014/main" id="{BEFD3CE4-E51C-4277-808B-28AC7D5ECD0E}"/>
            </a:ext>
          </a:extLst>
        </xdr:cNvPr>
        <xdr:cNvSpPr/>
      </xdr:nvSpPr>
      <xdr:spPr>
        <a:xfrm>
          <a:off x="13554363" y="1004452"/>
          <a:ext cx="2880000" cy="1800000"/>
        </a:xfrm>
        <a:prstGeom prst="roundRect">
          <a:avLst/>
        </a:prstGeom>
        <a:solidFill>
          <a:schemeClr val="bg1"/>
        </a:solidFill>
        <a:effectLst>
          <a:outerShdw blurRad="50800" dist="38100" dir="5400000" algn="t" rotWithShape="0">
            <a:prstClr val="black">
              <a:alpha val="40000"/>
            </a:prstClr>
          </a:outerShdw>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13</xdr:col>
      <xdr:colOff>842819</xdr:colOff>
      <xdr:row>6</xdr:row>
      <xdr:rowOff>92361</xdr:rowOff>
    </xdr:from>
    <xdr:to>
      <xdr:col>17</xdr:col>
      <xdr:colOff>427182</xdr:colOff>
      <xdr:row>9</xdr:row>
      <xdr:rowOff>2580</xdr:rowOff>
    </xdr:to>
    <xdr:sp macro="" textlink="">
      <xdr:nvSpPr>
        <xdr:cNvPr id="25" name="TextBox 24">
          <a:extLst>
            <a:ext uri="{FF2B5EF4-FFF2-40B4-BE49-F238E27FC236}">
              <a16:creationId xmlns:a16="http://schemas.microsoft.com/office/drawing/2014/main" id="{3E13BD4A-711E-432B-AC2C-EC9A92A2DB49}"/>
            </a:ext>
          </a:extLst>
        </xdr:cNvPr>
        <xdr:cNvSpPr txBox="1"/>
      </xdr:nvSpPr>
      <xdr:spPr>
        <a:xfrm>
          <a:off x="13542819" y="1200725"/>
          <a:ext cx="2874818" cy="464400"/>
        </a:xfrm>
        <a:prstGeom prst="rect">
          <a:avLst/>
        </a:prstGeom>
        <a:solidFill>
          <a:schemeClr val="tx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i="0">
              <a:solidFill>
                <a:schemeClr val="bg1"/>
              </a:solidFill>
              <a:effectLst/>
              <a:latin typeface="+mn-lt"/>
              <a:ea typeface="+mn-ea"/>
              <a:cs typeface="+mn-cs"/>
            </a:rPr>
            <a:t>TOP BRAND</a:t>
          </a:r>
          <a:endParaRPr lang="en-IN" sz="4000" b="1" baseline="0">
            <a:solidFill>
              <a:schemeClr val="bg1"/>
            </a:solidFill>
          </a:endParaRPr>
        </a:p>
      </xdr:txBody>
    </xdr:sp>
    <xdr:clientData/>
  </xdr:twoCellAnchor>
  <xdr:twoCellAnchor>
    <xdr:from>
      <xdr:col>13</xdr:col>
      <xdr:colOff>842818</xdr:colOff>
      <xdr:row>10</xdr:row>
      <xdr:rowOff>69266</xdr:rowOff>
    </xdr:from>
    <xdr:to>
      <xdr:col>17</xdr:col>
      <xdr:colOff>438726</xdr:colOff>
      <xdr:row>12</xdr:row>
      <xdr:rowOff>184721</xdr:rowOff>
    </xdr:to>
    <xdr:sp macro="" textlink="">
      <xdr:nvSpPr>
        <xdr:cNvPr id="27" name="TextBox 26">
          <a:extLst>
            <a:ext uri="{FF2B5EF4-FFF2-40B4-BE49-F238E27FC236}">
              <a16:creationId xmlns:a16="http://schemas.microsoft.com/office/drawing/2014/main" id="{F7934513-798A-49D3-AFA7-48BE38C4764B}"/>
            </a:ext>
          </a:extLst>
        </xdr:cNvPr>
        <xdr:cNvSpPr txBox="1"/>
      </xdr:nvSpPr>
      <xdr:spPr>
        <a:xfrm>
          <a:off x="13542818" y="1916539"/>
          <a:ext cx="2886363" cy="484909"/>
        </a:xfrm>
        <a:prstGeom prst="rect">
          <a:avLst/>
        </a:prstGeom>
        <a:solidFill>
          <a:schemeClr val="tx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1" i="0">
              <a:solidFill>
                <a:schemeClr val="bg1"/>
              </a:solidFill>
              <a:effectLst/>
              <a:latin typeface="+mn-lt"/>
              <a:ea typeface="+mn-ea"/>
              <a:cs typeface="+mn-cs"/>
            </a:rPr>
            <a:t>Samsung</a:t>
          </a:r>
          <a:endParaRPr lang="en-IN" sz="2000" b="1">
            <a:solidFill>
              <a:schemeClr val="bg1"/>
            </a:solidFill>
          </a:endParaRPr>
        </a:p>
      </xdr:txBody>
    </xdr:sp>
    <xdr:clientData/>
  </xdr:twoCellAnchor>
  <xdr:twoCellAnchor>
    <xdr:from>
      <xdr:col>18</xdr:col>
      <xdr:colOff>242445</xdr:colOff>
      <xdr:row>5</xdr:row>
      <xdr:rowOff>69273</xdr:rowOff>
    </xdr:from>
    <xdr:to>
      <xdr:col>22</xdr:col>
      <xdr:colOff>166808</xdr:colOff>
      <xdr:row>15</xdr:row>
      <xdr:rowOff>22000</xdr:rowOff>
    </xdr:to>
    <xdr:sp macro="" textlink="">
      <xdr:nvSpPr>
        <xdr:cNvPr id="28" name="Rectangle: Rounded Corners 27">
          <a:extLst>
            <a:ext uri="{FF2B5EF4-FFF2-40B4-BE49-F238E27FC236}">
              <a16:creationId xmlns:a16="http://schemas.microsoft.com/office/drawing/2014/main" id="{34DCD563-CAF0-4DB8-B652-1AE7E24258C8}"/>
            </a:ext>
          </a:extLst>
        </xdr:cNvPr>
        <xdr:cNvSpPr/>
      </xdr:nvSpPr>
      <xdr:spPr>
        <a:xfrm>
          <a:off x="16960263" y="992909"/>
          <a:ext cx="2880000" cy="1800000"/>
        </a:xfrm>
        <a:prstGeom prst="roundRect">
          <a:avLst/>
        </a:prstGeom>
        <a:solidFill>
          <a:schemeClr val="bg1"/>
        </a:solidFill>
        <a:effectLst>
          <a:outerShdw blurRad="50800" dist="38100" dir="5400000" algn="t" rotWithShape="0">
            <a:prstClr val="black">
              <a:alpha val="40000"/>
            </a:prstClr>
          </a:outerShdw>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253993</xdr:colOff>
      <xdr:row>6</xdr:row>
      <xdr:rowOff>126998</xdr:rowOff>
    </xdr:from>
    <xdr:to>
      <xdr:col>22</xdr:col>
      <xdr:colOff>161636</xdr:colOff>
      <xdr:row>9</xdr:row>
      <xdr:rowOff>37217</xdr:rowOff>
    </xdr:to>
    <xdr:sp macro="" textlink="">
      <xdr:nvSpPr>
        <xdr:cNvPr id="30" name="TextBox 29">
          <a:extLst>
            <a:ext uri="{FF2B5EF4-FFF2-40B4-BE49-F238E27FC236}">
              <a16:creationId xmlns:a16="http://schemas.microsoft.com/office/drawing/2014/main" id="{EAD7F918-ED9D-4C2C-89A3-CE681E0CC226}"/>
            </a:ext>
          </a:extLst>
        </xdr:cNvPr>
        <xdr:cNvSpPr txBox="1"/>
      </xdr:nvSpPr>
      <xdr:spPr>
        <a:xfrm>
          <a:off x="16971811" y="1235362"/>
          <a:ext cx="2863280" cy="464400"/>
        </a:xfrm>
        <a:prstGeom prst="rect">
          <a:avLst/>
        </a:prstGeom>
        <a:solidFill>
          <a:schemeClr val="tx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i="0">
              <a:solidFill>
                <a:schemeClr val="bg1"/>
              </a:solidFill>
              <a:effectLst/>
              <a:latin typeface="+mn-lt"/>
              <a:ea typeface="+mn-ea"/>
              <a:cs typeface="+mn-cs"/>
            </a:rPr>
            <a:t>TOP CITY</a:t>
          </a:r>
          <a:endParaRPr lang="en-IN" sz="4000" b="1" baseline="0">
            <a:solidFill>
              <a:schemeClr val="bg1"/>
            </a:solidFill>
          </a:endParaRPr>
        </a:p>
      </xdr:txBody>
    </xdr:sp>
    <xdr:clientData/>
  </xdr:twoCellAnchor>
  <xdr:twoCellAnchor>
    <xdr:from>
      <xdr:col>18</xdr:col>
      <xdr:colOff>219364</xdr:colOff>
      <xdr:row>10</xdr:row>
      <xdr:rowOff>92361</xdr:rowOff>
    </xdr:from>
    <xdr:to>
      <xdr:col>22</xdr:col>
      <xdr:colOff>173180</xdr:colOff>
      <xdr:row>13</xdr:row>
      <xdr:rowOff>23088</xdr:rowOff>
    </xdr:to>
    <xdr:sp macro="" textlink="">
      <xdr:nvSpPr>
        <xdr:cNvPr id="31" name="TextBox 30">
          <a:extLst>
            <a:ext uri="{FF2B5EF4-FFF2-40B4-BE49-F238E27FC236}">
              <a16:creationId xmlns:a16="http://schemas.microsoft.com/office/drawing/2014/main" id="{0574A71B-D36C-4F77-AC0E-F37D4F372F62}"/>
            </a:ext>
          </a:extLst>
        </xdr:cNvPr>
        <xdr:cNvSpPr txBox="1"/>
      </xdr:nvSpPr>
      <xdr:spPr>
        <a:xfrm>
          <a:off x="16937182" y="1939634"/>
          <a:ext cx="2909453" cy="484909"/>
        </a:xfrm>
        <a:prstGeom prst="rect">
          <a:avLst/>
        </a:prstGeom>
        <a:solidFill>
          <a:schemeClr val="tx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1" i="0">
              <a:solidFill>
                <a:schemeClr val="bg1"/>
              </a:solidFill>
              <a:effectLst/>
              <a:latin typeface="+mn-lt"/>
              <a:ea typeface="+mn-ea"/>
              <a:cs typeface="+mn-cs"/>
            </a:rPr>
            <a:t>Bengaluru</a:t>
          </a:r>
          <a:endParaRPr lang="en-IN" sz="2000" b="1">
            <a:solidFill>
              <a:schemeClr val="bg1"/>
            </a:solidFill>
          </a:endParaRPr>
        </a:p>
      </xdr:txBody>
    </xdr:sp>
    <xdr:clientData/>
  </xdr:twoCellAnchor>
  <xdr:twoCellAnchor>
    <xdr:from>
      <xdr:col>19</xdr:col>
      <xdr:colOff>265533</xdr:colOff>
      <xdr:row>2</xdr:row>
      <xdr:rowOff>23090</xdr:rowOff>
    </xdr:from>
    <xdr:to>
      <xdr:col>22</xdr:col>
      <xdr:colOff>836456</xdr:colOff>
      <xdr:row>4</xdr:row>
      <xdr:rowOff>115454</xdr:rowOff>
    </xdr:to>
    <xdr:sp macro="" textlink="">
      <xdr:nvSpPr>
        <xdr:cNvPr id="32" name="Rectangle 31">
          <a:extLst>
            <a:ext uri="{FF2B5EF4-FFF2-40B4-BE49-F238E27FC236}">
              <a16:creationId xmlns:a16="http://schemas.microsoft.com/office/drawing/2014/main" id="{18CCE138-18E5-ACE9-639F-09047BA87077}"/>
            </a:ext>
          </a:extLst>
        </xdr:cNvPr>
        <xdr:cNvSpPr/>
      </xdr:nvSpPr>
      <xdr:spPr>
        <a:xfrm>
          <a:off x="17595260" y="392545"/>
          <a:ext cx="2914651" cy="461818"/>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000" b="1" i="0">
              <a:solidFill>
                <a:schemeClr val="dk1"/>
              </a:solidFill>
              <a:effectLst/>
              <a:latin typeface="+mn-lt"/>
              <a:ea typeface="+mn-ea"/>
              <a:cs typeface="+mn-cs"/>
            </a:rPr>
            <a:t> Jan-2025     to     Dec-2025</a:t>
          </a:r>
          <a:endParaRPr lang="en-IN" sz="2000" b="1"/>
        </a:p>
      </xdr:txBody>
    </xdr:sp>
    <xdr:clientData/>
  </xdr:twoCellAnchor>
  <xdr:twoCellAnchor>
    <xdr:from>
      <xdr:col>20</xdr:col>
      <xdr:colOff>173178</xdr:colOff>
      <xdr:row>0</xdr:row>
      <xdr:rowOff>57726</xdr:rowOff>
    </xdr:from>
    <xdr:to>
      <xdr:col>22</xdr:col>
      <xdr:colOff>92359</xdr:colOff>
      <xdr:row>1</xdr:row>
      <xdr:rowOff>138544</xdr:rowOff>
    </xdr:to>
    <xdr:sp macro="" textlink="">
      <xdr:nvSpPr>
        <xdr:cNvPr id="33" name="TextBox 32">
          <a:extLst>
            <a:ext uri="{FF2B5EF4-FFF2-40B4-BE49-F238E27FC236}">
              <a16:creationId xmlns:a16="http://schemas.microsoft.com/office/drawing/2014/main" id="{3A537C80-A66E-93C2-C0A6-033F25CB703D}"/>
            </a:ext>
          </a:extLst>
        </xdr:cNvPr>
        <xdr:cNvSpPr txBox="1"/>
      </xdr:nvSpPr>
      <xdr:spPr>
        <a:xfrm>
          <a:off x="18114814" y="57726"/>
          <a:ext cx="1651000" cy="265545"/>
        </a:xfrm>
        <a:prstGeom prst="rect">
          <a:avLst/>
        </a:prstGeom>
        <a:solidFill>
          <a:schemeClr val="tx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2000" b="1" i="0">
              <a:solidFill>
                <a:schemeClr val="bg1"/>
              </a:solidFill>
              <a:effectLst/>
              <a:latin typeface="+mn-lt"/>
              <a:ea typeface="+mn-ea"/>
              <a:cs typeface="+mn-cs"/>
            </a:rPr>
            <a:t>Select Period</a:t>
          </a:r>
          <a:endParaRPr lang="en-IN" sz="2000" b="1">
            <a:solidFill>
              <a:schemeClr val="bg1"/>
            </a:solidFill>
          </a:endParaRPr>
        </a:p>
      </xdr:txBody>
    </xdr:sp>
    <xdr:clientData/>
  </xdr:twoCellAnchor>
  <xdr:twoCellAnchor>
    <xdr:from>
      <xdr:col>6</xdr:col>
      <xdr:colOff>1778001</xdr:colOff>
      <xdr:row>46</xdr:row>
      <xdr:rowOff>150097</xdr:rowOff>
    </xdr:from>
    <xdr:to>
      <xdr:col>13</xdr:col>
      <xdr:colOff>1085274</xdr:colOff>
      <xdr:row>60</xdr:row>
      <xdr:rowOff>103909</xdr:rowOff>
    </xdr:to>
    <xdr:graphicFrame macro="">
      <xdr:nvGraphicFramePr>
        <xdr:cNvPr id="45" name="Chart 44">
          <a:extLst>
            <a:ext uri="{FF2B5EF4-FFF2-40B4-BE49-F238E27FC236}">
              <a16:creationId xmlns:a16="http://schemas.microsoft.com/office/drawing/2014/main" id="{8C79EE6C-A442-4619-A1E1-C1D9F5D0E9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415632</xdr:colOff>
      <xdr:row>30</xdr:row>
      <xdr:rowOff>115462</xdr:rowOff>
    </xdr:from>
    <xdr:to>
      <xdr:col>9</xdr:col>
      <xdr:colOff>854364</xdr:colOff>
      <xdr:row>46</xdr:row>
      <xdr:rowOff>46180</xdr:rowOff>
    </xdr:to>
    <xdr:graphicFrame macro="">
      <xdr:nvGraphicFramePr>
        <xdr:cNvPr id="47" name="Chart 46">
          <a:extLst>
            <a:ext uri="{FF2B5EF4-FFF2-40B4-BE49-F238E27FC236}">
              <a16:creationId xmlns:a16="http://schemas.microsoft.com/office/drawing/2014/main" id="{CF0F4324-9D8E-4979-A03B-6E1191E74B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381000</xdr:colOff>
      <xdr:row>46</xdr:row>
      <xdr:rowOff>127006</xdr:rowOff>
    </xdr:from>
    <xdr:to>
      <xdr:col>23</xdr:col>
      <xdr:colOff>196271</xdr:colOff>
      <xdr:row>60</xdr:row>
      <xdr:rowOff>92364</xdr:rowOff>
    </xdr:to>
    <xdr:graphicFrame macro="">
      <xdr:nvGraphicFramePr>
        <xdr:cNvPr id="48" name="Chart 47">
          <a:extLst>
            <a:ext uri="{FF2B5EF4-FFF2-40B4-BE49-F238E27FC236}">
              <a16:creationId xmlns:a16="http://schemas.microsoft.com/office/drawing/2014/main" id="{FDD2C6B6-CEC5-449A-BE72-D6CE92C335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1143000</xdr:colOff>
      <xdr:row>13</xdr:row>
      <xdr:rowOff>69272</xdr:rowOff>
    </xdr:from>
    <xdr:to>
      <xdr:col>6</xdr:col>
      <xdr:colOff>992909</xdr:colOff>
      <xdr:row>15</xdr:row>
      <xdr:rowOff>23091</xdr:rowOff>
    </xdr:to>
    <xdr:sp macro="" textlink="">
      <xdr:nvSpPr>
        <xdr:cNvPr id="49" name="TextBox 48">
          <a:extLst>
            <a:ext uri="{FF2B5EF4-FFF2-40B4-BE49-F238E27FC236}">
              <a16:creationId xmlns:a16="http://schemas.microsoft.com/office/drawing/2014/main" id="{66233BD9-C88A-DC87-350D-321C9D61E1C3}"/>
            </a:ext>
          </a:extLst>
        </xdr:cNvPr>
        <xdr:cNvSpPr txBox="1"/>
      </xdr:nvSpPr>
      <xdr:spPr>
        <a:xfrm>
          <a:off x="4202545" y="2470727"/>
          <a:ext cx="1431637" cy="32327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i="0">
              <a:solidFill>
                <a:schemeClr val="tx2"/>
              </a:solidFill>
              <a:effectLst/>
              <a:latin typeface="Arial Black" panose="020B0A04020102020204" pitchFamily="34" charset="0"/>
              <a:ea typeface="+mn-ea"/>
              <a:cs typeface="+mn-cs"/>
            </a:rPr>
            <a:t>100% of Total</a:t>
          </a:r>
          <a:endParaRPr lang="en-IN" sz="1200" b="1">
            <a:solidFill>
              <a:schemeClr val="tx2"/>
            </a:solidFill>
            <a:latin typeface="Arial Black" panose="020B0A04020102020204" pitchFamily="34" charset="0"/>
          </a:endParaRPr>
        </a:p>
      </xdr:txBody>
    </xdr:sp>
    <xdr:clientData/>
  </xdr:twoCellAnchor>
  <xdr:twoCellAnchor>
    <xdr:from>
      <xdr:col>7</xdr:col>
      <xdr:colOff>923639</xdr:colOff>
      <xdr:row>13</xdr:row>
      <xdr:rowOff>34634</xdr:rowOff>
    </xdr:from>
    <xdr:to>
      <xdr:col>8</xdr:col>
      <xdr:colOff>923636</xdr:colOff>
      <xdr:row>14</xdr:row>
      <xdr:rowOff>173180</xdr:rowOff>
    </xdr:to>
    <xdr:sp macro="" textlink="">
      <xdr:nvSpPr>
        <xdr:cNvPr id="50" name="TextBox 49">
          <a:extLst>
            <a:ext uri="{FF2B5EF4-FFF2-40B4-BE49-F238E27FC236}">
              <a16:creationId xmlns:a16="http://schemas.microsoft.com/office/drawing/2014/main" id="{131E1834-462B-4D00-B7D6-28332502CC7D}"/>
            </a:ext>
          </a:extLst>
        </xdr:cNvPr>
        <xdr:cNvSpPr txBox="1"/>
      </xdr:nvSpPr>
      <xdr:spPr>
        <a:xfrm>
          <a:off x="7481457" y="2436089"/>
          <a:ext cx="1558634" cy="32327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i="0">
              <a:solidFill>
                <a:schemeClr val="tx2"/>
              </a:solidFill>
              <a:effectLst/>
              <a:latin typeface="Arial Black" panose="020B0A04020102020204" pitchFamily="34" charset="0"/>
              <a:ea typeface="+mn-ea"/>
              <a:cs typeface="+mn-cs"/>
            </a:rPr>
            <a:t>100% of Total</a:t>
          </a:r>
          <a:endParaRPr lang="en-IN" sz="1200" b="1">
            <a:solidFill>
              <a:schemeClr val="tx2"/>
            </a:solidFill>
            <a:latin typeface="Arial Black" panose="020B0A04020102020204" pitchFamily="34" charset="0"/>
          </a:endParaRPr>
        </a:p>
      </xdr:txBody>
    </xdr:sp>
    <xdr:clientData/>
  </xdr:twoCellAnchor>
  <xdr:twoCellAnchor>
    <xdr:from>
      <xdr:col>11</xdr:col>
      <xdr:colOff>242452</xdr:colOff>
      <xdr:row>13</xdr:row>
      <xdr:rowOff>127001</xdr:rowOff>
    </xdr:from>
    <xdr:to>
      <xdr:col>12</xdr:col>
      <xdr:colOff>415634</xdr:colOff>
      <xdr:row>15</xdr:row>
      <xdr:rowOff>1</xdr:rowOff>
    </xdr:to>
    <xdr:sp macro="" textlink="">
      <xdr:nvSpPr>
        <xdr:cNvPr id="51" name="TextBox 50">
          <a:extLst>
            <a:ext uri="{FF2B5EF4-FFF2-40B4-BE49-F238E27FC236}">
              <a16:creationId xmlns:a16="http://schemas.microsoft.com/office/drawing/2014/main" id="{D681EEBF-1796-448C-ABE5-85FDE0E2D686}"/>
            </a:ext>
          </a:extLst>
        </xdr:cNvPr>
        <xdr:cNvSpPr txBox="1"/>
      </xdr:nvSpPr>
      <xdr:spPr>
        <a:xfrm>
          <a:off x="11129816" y="2528456"/>
          <a:ext cx="1212273" cy="2424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i="0">
              <a:solidFill>
                <a:schemeClr val="tx2"/>
              </a:solidFill>
              <a:effectLst/>
              <a:latin typeface="Arial Black" panose="020B0A04020102020204" pitchFamily="34" charset="0"/>
              <a:ea typeface="+mn-ea"/>
              <a:cs typeface="+mn-cs"/>
            </a:rPr>
            <a:t>37.63 Lakh</a:t>
          </a:r>
          <a:endParaRPr lang="en-IN" sz="1200" b="1">
            <a:solidFill>
              <a:schemeClr val="tx2"/>
            </a:solidFill>
            <a:latin typeface="Arial Black" panose="020B0A04020102020204" pitchFamily="34" charset="0"/>
          </a:endParaRPr>
        </a:p>
      </xdr:txBody>
    </xdr:sp>
    <xdr:clientData/>
  </xdr:twoCellAnchor>
  <xdr:twoCellAnchor>
    <xdr:from>
      <xdr:col>14</xdr:col>
      <xdr:colOff>565728</xdr:colOff>
      <xdr:row>13</xdr:row>
      <xdr:rowOff>92360</xdr:rowOff>
    </xdr:from>
    <xdr:to>
      <xdr:col>15</xdr:col>
      <xdr:colOff>623455</xdr:colOff>
      <xdr:row>14</xdr:row>
      <xdr:rowOff>150087</xdr:rowOff>
    </xdr:to>
    <xdr:sp macro="" textlink="">
      <xdr:nvSpPr>
        <xdr:cNvPr id="52" name="TextBox 51">
          <a:extLst>
            <a:ext uri="{FF2B5EF4-FFF2-40B4-BE49-F238E27FC236}">
              <a16:creationId xmlns:a16="http://schemas.microsoft.com/office/drawing/2014/main" id="{350561E7-EA6E-47E8-AFDB-9CE51A65237F}"/>
            </a:ext>
          </a:extLst>
        </xdr:cNvPr>
        <xdr:cNvSpPr txBox="1"/>
      </xdr:nvSpPr>
      <xdr:spPr>
        <a:xfrm>
          <a:off x="14443364" y="2493815"/>
          <a:ext cx="1212273" cy="2424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i="0">
              <a:solidFill>
                <a:schemeClr val="tx2"/>
              </a:solidFill>
              <a:effectLst/>
              <a:latin typeface="Arial Black" panose="020B0A04020102020204" pitchFamily="34" charset="0"/>
              <a:ea typeface="+mn-ea"/>
              <a:cs typeface="+mn-cs"/>
            </a:rPr>
            <a:t>18.41 Lakh</a:t>
          </a:r>
          <a:endParaRPr lang="en-IN" sz="1200" b="1">
            <a:solidFill>
              <a:schemeClr val="tx2"/>
            </a:solidFill>
            <a:latin typeface="Arial Black" panose="020B0A04020102020204" pitchFamily="34" charset="0"/>
          </a:endParaRPr>
        </a:p>
      </xdr:txBody>
    </xdr:sp>
    <xdr:clientData/>
  </xdr:twoCellAnchor>
  <xdr:twoCellAnchor>
    <xdr:from>
      <xdr:col>19</xdr:col>
      <xdr:colOff>588819</xdr:colOff>
      <xdr:row>13</xdr:row>
      <xdr:rowOff>69273</xdr:rowOff>
    </xdr:from>
    <xdr:to>
      <xdr:col>21</xdr:col>
      <xdr:colOff>577274</xdr:colOff>
      <xdr:row>14</xdr:row>
      <xdr:rowOff>127000</xdr:rowOff>
    </xdr:to>
    <xdr:sp macro="" textlink="">
      <xdr:nvSpPr>
        <xdr:cNvPr id="53" name="TextBox 52">
          <a:extLst>
            <a:ext uri="{FF2B5EF4-FFF2-40B4-BE49-F238E27FC236}">
              <a16:creationId xmlns:a16="http://schemas.microsoft.com/office/drawing/2014/main" id="{AE2E3B1E-6B28-4C78-97AA-0F76E10D48BA}"/>
            </a:ext>
          </a:extLst>
        </xdr:cNvPr>
        <xdr:cNvSpPr txBox="1"/>
      </xdr:nvSpPr>
      <xdr:spPr>
        <a:xfrm>
          <a:off x="17918546" y="2470728"/>
          <a:ext cx="1212273" cy="2424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i="0">
              <a:solidFill>
                <a:schemeClr val="tx2"/>
              </a:solidFill>
              <a:effectLst/>
              <a:latin typeface="Arial Black" panose="020B0A04020102020204" pitchFamily="34" charset="0"/>
              <a:ea typeface="+mn-ea"/>
              <a:cs typeface="+mn-cs"/>
            </a:rPr>
            <a:t>16.35 Lakh</a:t>
          </a:r>
          <a:endParaRPr lang="en-IN" sz="1200" b="1">
            <a:solidFill>
              <a:schemeClr val="tx2"/>
            </a:solidFill>
            <a:latin typeface="Arial Black" panose="020B0A04020102020204" pitchFamily="34" charset="0"/>
          </a:endParaRPr>
        </a:p>
      </xdr:txBody>
    </xdr:sp>
    <xdr:clientData/>
  </xdr:twoCellAnchor>
  <xdr:twoCellAnchor editAs="oneCell">
    <xdr:from>
      <xdr:col>0</xdr:col>
      <xdr:colOff>161636</xdr:colOff>
      <xdr:row>0</xdr:row>
      <xdr:rowOff>80819</xdr:rowOff>
    </xdr:from>
    <xdr:to>
      <xdr:col>4</xdr:col>
      <xdr:colOff>207819</xdr:colOff>
      <xdr:row>4</xdr:row>
      <xdr:rowOff>127000</xdr:rowOff>
    </xdr:to>
    <xdr:pic>
      <xdr:nvPicPr>
        <xdr:cNvPr id="6" name="Picture 5">
          <a:extLst>
            <a:ext uri="{FF2B5EF4-FFF2-40B4-BE49-F238E27FC236}">
              <a16:creationId xmlns:a16="http://schemas.microsoft.com/office/drawing/2014/main" id="{15200FD0-7A4E-546F-3BD7-9E1429C76A6B}"/>
            </a:ext>
          </a:extLst>
        </xdr:cNvPr>
        <xdr:cNvPicPr>
          <a:picLocks noChangeAspect="1" noChangeArrowheads="1"/>
        </xdr:cNvPicPr>
      </xdr:nvPicPr>
      <xdr:blipFill>
        <a:blip xmlns:r="http://schemas.openxmlformats.org/officeDocument/2006/relationships" r:embed="rId8">
          <a:duotone>
            <a:prstClr val="black"/>
            <a:schemeClr val="accent1">
              <a:tint val="45000"/>
              <a:satMod val="400000"/>
            </a:schemeClr>
          </a:duotone>
          <a:extLst>
            <a:ext uri="{28A0092B-C50C-407E-A947-70E740481C1C}">
              <a14:useLocalDpi xmlns:a14="http://schemas.microsoft.com/office/drawing/2010/main" val="0"/>
            </a:ext>
          </a:extLst>
        </a:blip>
        <a:srcRect/>
        <a:stretch>
          <a:fillRect/>
        </a:stretch>
      </xdr:blipFill>
      <xdr:spPr bwMode="auto">
        <a:xfrm>
          <a:off x="161636" y="80819"/>
          <a:ext cx="2493819" cy="785090"/>
        </a:xfrm>
        <a:prstGeom prst="rect">
          <a:avLst/>
        </a:prstGeom>
        <a:solidFill>
          <a:srgbClr val="3E9473"/>
        </a:solidFill>
        <a:ln>
          <a:noFill/>
        </a:ln>
        <a:effectLst>
          <a:outerShdw blurRad="50800" dist="38100" dir="8100000" algn="tr" rotWithShape="0">
            <a:prstClr val="black">
              <a:alpha val="40000"/>
            </a:prstClr>
          </a:outerShdw>
        </a:effectLst>
      </xdr:spPr>
    </xdr:pic>
    <xdr:clientData/>
  </xdr:twoCellAnchor>
  <xdr:twoCellAnchor>
    <xdr:from>
      <xdr:col>1</xdr:col>
      <xdr:colOff>277091</xdr:colOff>
      <xdr:row>0</xdr:row>
      <xdr:rowOff>80818</xdr:rowOff>
    </xdr:from>
    <xdr:to>
      <xdr:col>4</xdr:col>
      <xdr:colOff>184728</xdr:colOff>
      <xdr:row>4</xdr:row>
      <xdr:rowOff>80818</xdr:rowOff>
    </xdr:to>
    <xdr:sp macro="" textlink="">
      <xdr:nvSpPr>
        <xdr:cNvPr id="11" name="TextBox 10">
          <a:extLst>
            <a:ext uri="{FF2B5EF4-FFF2-40B4-BE49-F238E27FC236}">
              <a16:creationId xmlns:a16="http://schemas.microsoft.com/office/drawing/2014/main" id="{596F9099-A9E5-9C13-0E89-2D99A61EF96F}"/>
            </a:ext>
          </a:extLst>
        </xdr:cNvPr>
        <xdr:cNvSpPr txBox="1"/>
      </xdr:nvSpPr>
      <xdr:spPr>
        <a:xfrm>
          <a:off x="889000" y="80818"/>
          <a:ext cx="1743364" cy="7389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002060"/>
              </a:solidFill>
            </a:rPr>
            <a:t>Sales Dashbord </a:t>
          </a:r>
          <a:br>
            <a:rPr lang="en-IN" sz="1800" b="1">
              <a:solidFill>
                <a:srgbClr val="002060"/>
              </a:solidFill>
            </a:rPr>
          </a:br>
          <a:r>
            <a:rPr lang="en-IN" sz="1800" b="1">
              <a:solidFill>
                <a:srgbClr val="002060"/>
              </a:solidFill>
            </a:rPr>
            <a:t>2025</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hankhan" refreshedDate="46197.055692708331" createdVersion="8" refreshedVersion="8" minRefreshableVersion="3" recordCount="130" xr:uid="{BC21C95C-FBC7-4F67-814B-F7C425C4A9C2}">
  <cacheSource type="worksheet">
    <worksheetSource name="Table1"/>
  </cacheSource>
  <cacheFields count="10">
    <cacheField name="Date" numFmtId="14">
      <sharedItems containsSemiMixedTypes="0" containsNonDate="0" containsDate="1" containsString="0" minDate="2025-01-03T00:00:00" maxDate="2026-01-01T00:00:00" count="130">
        <d v="2025-01-03T00:00:00"/>
        <d v="2025-01-08T00:00:00"/>
        <d v="2025-01-12T00:00:00"/>
        <d v="2025-01-15T00:00:00"/>
        <d v="2025-01-20T00:00:00"/>
        <d v="2025-01-22T00:00:00"/>
        <d v="2025-01-25T00:00:00"/>
        <d v="2025-01-28T00:00:00"/>
        <d v="2025-01-30T00:00:00"/>
        <d v="2025-01-31T00:00:00"/>
        <d v="2025-02-02T00:00:00"/>
        <d v="2025-02-05T00:00:00"/>
        <d v="2025-02-08T00:00:00"/>
        <d v="2025-02-10T00:00:00"/>
        <d v="2025-02-13T00:00:00"/>
        <d v="2025-02-16T00:00:00"/>
        <d v="2025-02-18T00:00:00"/>
        <d v="2025-02-20T00:00:00"/>
        <d v="2025-02-22T00:00:00"/>
        <d v="2025-02-25T00:00:00"/>
        <d v="2025-03-02T00:00:00"/>
        <d v="2025-03-04T00:00:00"/>
        <d v="2025-03-07T00:00:00"/>
        <d v="2025-03-09T00:00:00"/>
        <d v="2025-03-11T00:00:00"/>
        <d v="2025-03-13T00:00:00"/>
        <d v="2025-03-16T00:00:00"/>
        <d v="2025-03-18T00:00:00"/>
        <d v="2025-03-21T00:00:00"/>
        <d v="2025-03-23T00:00:00"/>
        <d v="2025-04-01T00:00:00"/>
        <d v="2025-04-04T00:00:00"/>
        <d v="2025-04-07T00:00:00"/>
        <d v="2025-04-10T00:00:00"/>
        <d v="2025-04-13T00:00:00"/>
        <d v="2025-04-16T00:00:00"/>
        <d v="2025-04-19T00:00:00"/>
        <d v="2025-04-22T00:00:00"/>
        <d v="2025-04-25T00:00:00"/>
        <d v="2025-04-28T00:00:00"/>
        <d v="2025-05-02T00:00:00"/>
        <d v="2025-05-05T00:00:00"/>
        <d v="2025-05-08T00:00:00"/>
        <d v="2025-05-11T00:00:00"/>
        <d v="2025-05-14T00:00:00"/>
        <d v="2025-05-17T00:00:00"/>
        <d v="2025-05-20T00:00:00"/>
        <d v="2025-05-23T00:00:00"/>
        <d v="2025-05-26T00:00:00"/>
        <d v="2025-05-29T00:00:00"/>
        <d v="2025-06-01T00:00:00"/>
        <d v="2025-06-04T00:00:00"/>
        <d v="2025-06-07T00:00:00"/>
        <d v="2025-06-10T00:00:00"/>
        <d v="2025-06-13T00:00:00"/>
        <d v="2025-06-16T00:00:00"/>
        <d v="2025-06-19T00:00:00"/>
        <d v="2025-06-22T00:00:00"/>
        <d v="2025-06-25T00:00:00"/>
        <d v="2025-06-28T00:00:00"/>
        <d v="2025-07-01T00:00:00"/>
        <d v="2025-07-04T00:00:00"/>
        <d v="2025-07-07T00:00:00"/>
        <d v="2025-07-10T00:00:00"/>
        <d v="2025-07-13T00:00:00"/>
        <d v="2025-07-16T00:00:00"/>
        <d v="2025-07-19T00:00:00"/>
        <d v="2025-07-22T00:00:00"/>
        <d v="2025-07-25T00:00:00"/>
        <d v="2025-07-28T00:00:00"/>
        <d v="2025-08-01T00:00:00"/>
        <d v="2025-08-04T00:00:00"/>
        <d v="2025-08-07T00:00:00"/>
        <d v="2025-08-10T00:00:00"/>
        <d v="2025-08-13T00:00:00"/>
        <d v="2025-08-16T00:00:00"/>
        <d v="2025-08-19T00:00:00"/>
        <d v="2025-08-22T00:00:00"/>
        <d v="2025-08-25T00:00:00"/>
        <d v="2025-08-28T00:00:00"/>
        <d v="2025-09-01T00:00:00"/>
        <d v="2025-09-04T00:00:00"/>
        <d v="2025-09-07T00:00:00"/>
        <d v="2025-09-10T00:00:00"/>
        <d v="2025-09-13T00:00:00"/>
        <d v="2025-09-16T00:00:00"/>
        <d v="2025-09-19T00:00:00"/>
        <d v="2025-09-22T00:00:00"/>
        <d v="2025-09-25T00:00:00"/>
        <d v="2025-09-28T00:00:00"/>
        <d v="2025-10-01T00:00:00"/>
        <d v="2025-10-04T00:00:00"/>
        <d v="2025-10-07T00:00:00"/>
        <d v="2025-10-10T00:00:00"/>
        <d v="2025-10-13T00:00:00"/>
        <d v="2025-10-16T00:00:00"/>
        <d v="2025-10-19T00:00:00"/>
        <d v="2025-10-22T00:00:00"/>
        <d v="2025-10-25T00:00:00"/>
        <d v="2025-10-28T00:00:00"/>
        <d v="2025-11-01T00:00:00"/>
        <d v="2025-11-04T00:00:00"/>
        <d v="2025-11-07T00:00:00"/>
        <d v="2025-11-10T00:00:00"/>
        <d v="2025-11-13T00:00:00"/>
        <d v="2025-11-16T00:00:00"/>
        <d v="2025-11-19T00:00:00"/>
        <d v="2025-11-22T00:00:00"/>
        <d v="2025-11-25T00:00:00"/>
        <d v="2025-11-28T00:00:00"/>
        <d v="2025-12-01T00:00:00"/>
        <d v="2025-12-03T00:00:00"/>
        <d v="2025-12-06T00:00:00"/>
        <d v="2025-12-08T00:00:00"/>
        <d v="2025-12-10T00:00:00"/>
        <d v="2025-12-12T00:00:00"/>
        <d v="2025-12-14T00:00:00"/>
        <d v="2025-12-16T00:00:00"/>
        <d v="2025-12-18T00:00:00"/>
        <d v="2025-12-20T00:00:00"/>
        <d v="2025-12-22T00:00:00"/>
        <d v="2025-12-23T00:00:00"/>
        <d v="2025-12-24T00:00:00"/>
        <d v="2025-12-25T00:00:00"/>
        <d v="2025-12-26T00:00:00"/>
        <d v="2025-12-27T00:00:00"/>
        <d v="2025-12-28T00:00:00"/>
        <d v="2025-12-29T00:00:00"/>
        <d v="2025-12-30T00:00:00"/>
        <d v="2025-12-31T00:00:00"/>
      </sharedItems>
      <fieldGroup par="9"/>
    </cacheField>
    <cacheField name="Product Code" numFmtId="0">
      <sharedItems/>
    </cacheField>
    <cacheField name="Product" numFmtId="0">
      <sharedItems count="10">
        <s v="Laptop"/>
        <s v="Mobile"/>
        <s v="Tablet"/>
        <s v="Headphones"/>
        <s v="Smartwatch"/>
        <s v="TV"/>
        <s v="Refrigerator"/>
        <s v="Microwave"/>
        <s v="Keyboard"/>
        <s v="Mouse"/>
      </sharedItems>
    </cacheField>
    <cacheField name="Brand" numFmtId="0">
      <sharedItems count="13">
        <s v="Dell"/>
        <s v="Samsung"/>
        <s v="Apple"/>
        <s v="Noise"/>
        <s v="LG"/>
        <s v="IFB"/>
        <s v="Logitech"/>
        <s v="HP"/>
        <s v="Vivo"/>
        <s v="Lenovo"/>
        <s v="JBL"/>
        <s v="Sony"/>
        <s v="Whirlpool"/>
      </sharedItems>
    </cacheField>
    <cacheField name="City" numFmtId="0">
      <sharedItems count="8">
        <s v="Mumbai"/>
        <s v="Delhi"/>
        <s v="Bengaluru"/>
        <s v="Hyderabad"/>
        <s v="Pune"/>
        <s v="Chennai"/>
        <s v="Kolkata"/>
        <s v="Jaipur"/>
      </sharedItems>
    </cacheField>
    <cacheField name="Total Quantity" numFmtId="0">
      <sharedItems containsSemiMixedTypes="0" containsString="0" containsNumber="1" containsInteger="1" minValue="1" maxValue="12"/>
    </cacheField>
    <cacheField name="Rate" numFmtId="0">
      <sharedItems containsSemiMixedTypes="0" containsString="0" containsNumber="1" containsInteger="1" minValue="750" maxValue="75000"/>
    </cacheField>
    <cacheField name="Total Sales" numFmtId="0">
      <sharedItems containsSemiMixedTypes="0" containsString="0" containsNumber="1" containsInteger="1" minValue="7500" maxValue="230000"/>
    </cacheField>
    <cacheField name="Days (Date)" numFmtId="0" databaseField="0">
      <fieldGroup base="0">
        <rangePr groupBy="days" startDate="2025-01-03T00:00:00" endDate="2026-01-01T00:00:00"/>
        <groupItems count="368">
          <s v="&lt;03-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6"/>
        </groupItems>
      </fieldGroup>
    </cacheField>
    <cacheField name="Months (Date)" numFmtId="0" databaseField="0">
      <fieldGroup base="0">
        <rangePr groupBy="months" startDate="2025-01-03T00:00:00" endDate="2026-01-01T00:00:00"/>
        <groupItems count="14">
          <s v="&lt;03-01-2025"/>
          <s v="Jan"/>
          <s v="Feb"/>
          <s v="Mar"/>
          <s v="Apr"/>
          <s v="May"/>
          <s v="Jun"/>
          <s v="Jul"/>
          <s v="Aug"/>
          <s v="Sep"/>
          <s v="Oct"/>
          <s v="Nov"/>
          <s v="Dec"/>
          <s v="&gt;01-01-2026"/>
        </groupItems>
      </fieldGroup>
    </cacheField>
  </cacheFields>
  <extLst>
    <ext xmlns:x14="http://schemas.microsoft.com/office/spreadsheetml/2009/9/main" uri="{725AE2AE-9491-48be-B2B4-4EB974FC3084}">
      <x14:pivotCacheDefinition pivotCacheId="5055566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0">
  <r>
    <x v="0"/>
    <s v="P001"/>
    <x v="0"/>
    <x v="0"/>
    <x v="0"/>
    <n v="3"/>
    <n v="52000"/>
    <n v="156000"/>
  </r>
  <r>
    <x v="1"/>
    <s v="P002"/>
    <x v="1"/>
    <x v="1"/>
    <x v="1"/>
    <n v="5"/>
    <n v="18000"/>
    <n v="90000"/>
  </r>
  <r>
    <x v="2"/>
    <s v="P003"/>
    <x v="2"/>
    <x v="2"/>
    <x v="2"/>
    <n v="2"/>
    <n v="65000"/>
    <n v="130000"/>
  </r>
  <r>
    <x v="3"/>
    <s v="P004"/>
    <x v="3"/>
    <x v="3"/>
    <x v="3"/>
    <n v="10"/>
    <n v="2500"/>
    <n v="25000"/>
  </r>
  <r>
    <x v="4"/>
    <s v="P005"/>
    <x v="4"/>
    <x v="3"/>
    <x v="4"/>
    <n v="7"/>
    <n v="3000"/>
    <n v="21000"/>
  </r>
  <r>
    <x v="5"/>
    <s v="P006"/>
    <x v="5"/>
    <x v="4"/>
    <x v="5"/>
    <n v="2"/>
    <n v="45000"/>
    <n v="90000"/>
  </r>
  <r>
    <x v="6"/>
    <s v="P007"/>
    <x v="6"/>
    <x v="1"/>
    <x v="6"/>
    <n v="1"/>
    <n v="41000"/>
    <n v="41000"/>
  </r>
  <r>
    <x v="7"/>
    <s v="P008"/>
    <x v="7"/>
    <x v="5"/>
    <x v="7"/>
    <n v="4"/>
    <n v="12000"/>
    <n v="48000"/>
  </r>
  <r>
    <x v="8"/>
    <s v="P009"/>
    <x v="8"/>
    <x v="6"/>
    <x v="0"/>
    <n v="8"/>
    <n v="1500"/>
    <n v="12000"/>
  </r>
  <r>
    <x v="9"/>
    <s v="P010"/>
    <x v="9"/>
    <x v="6"/>
    <x v="1"/>
    <n v="12"/>
    <n v="800"/>
    <n v="9600"/>
  </r>
  <r>
    <x v="10"/>
    <s v="P001"/>
    <x v="0"/>
    <x v="7"/>
    <x v="2"/>
    <n v="3"/>
    <n v="48000"/>
    <n v="144000"/>
  </r>
  <r>
    <x v="11"/>
    <s v="P002"/>
    <x v="1"/>
    <x v="8"/>
    <x v="3"/>
    <n v="6"/>
    <n v="15000"/>
    <n v="90000"/>
  </r>
  <r>
    <x v="12"/>
    <s v="P003"/>
    <x v="2"/>
    <x v="9"/>
    <x v="4"/>
    <n v="2"/>
    <n v="52000"/>
    <n v="104000"/>
  </r>
  <r>
    <x v="13"/>
    <s v="P004"/>
    <x v="3"/>
    <x v="10"/>
    <x v="6"/>
    <n v="9"/>
    <n v="2800"/>
    <n v="25200"/>
  </r>
  <r>
    <x v="14"/>
    <s v="P005"/>
    <x v="4"/>
    <x v="1"/>
    <x v="0"/>
    <n v="5"/>
    <n v="22000"/>
    <n v="110000"/>
  </r>
  <r>
    <x v="15"/>
    <s v="P006"/>
    <x v="5"/>
    <x v="11"/>
    <x v="5"/>
    <n v="1"/>
    <n v="60000"/>
    <n v="60000"/>
  </r>
  <r>
    <x v="16"/>
    <s v="P007"/>
    <x v="6"/>
    <x v="12"/>
    <x v="1"/>
    <n v="1"/>
    <n v="39000"/>
    <n v="39000"/>
  </r>
  <r>
    <x v="17"/>
    <s v="P008"/>
    <x v="7"/>
    <x v="4"/>
    <x v="7"/>
    <n v="3"/>
    <n v="11000"/>
    <n v="33000"/>
  </r>
  <r>
    <x v="18"/>
    <s v="P009"/>
    <x v="8"/>
    <x v="0"/>
    <x v="2"/>
    <n v="7"/>
    <n v="1200"/>
    <n v="8400"/>
  </r>
  <r>
    <x v="19"/>
    <s v="P010"/>
    <x v="9"/>
    <x v="7"/>
    <x v="4"/>
    <n v="10"/>
    <n v="750"/>
    <n v="7500"/>
  </r>
  <r>
    <x v="20"/>
    <s v="P001"/>
    <x v="0"/>
    <x v="9"/>
    <x v="0"/>
    <n v="4"/>
    <n v="55000"/>
    <n v="220000"/>
  </r>
  <r>
    <x v="21"/>
    <s v="P002"/>
    <x v="1"/>
    <x v="1"/>
    <x v="1"/>
    <n v="3"/>
    <n v="17500"/>
    <n v="52500"/>
  </r>
  <r>
    <x v="22"/>
    <s v="P003"/>
    <x v="2"/>
    <x v="2"/>
    <x v="2"/>
    <n v="2"/>
    <n v="68000"/>
    <n v="136000"/>
  </r>
  <r>
    <x v="23"/>
    <s v="P004"/>
    <x v="3"/>
    <x v="3"/>
    <x v="3"/>
    <n v="5"/>
    <n v="3000"/>
    <n v="15000"/>
  </r>
  <r>
    <x v="24"/>
    <s v="P005"/>
    <x v="4"/>
    <x v="3"/>
    <x v="4"/>
    <n v="6"/>
    <n v="3500"/>
    <n v="21000"/>
  </r>
  <r>
    <x v="25"/>
    <s v="P006"/>
    <x v="5"/>
    <x v="4"/>
    <x v="5"/>
    <n v="1"/>
    <n v="50000"/>
    <n v="50000"/>
  </r>
  <r>
    <x v="26"/>
    <s v="P007"/>
    <x v="6"/>
    <x v="1"/>
    <x v="6"/>
    <n v="2"/>
    <n v="42000"/>
    <n v="84000"/>
  </r>
  <r>
    <x v="27"/>
    <s v="P008"/>
    <x v="7"/>
    <x v="5"/>
    <x v="7"/>
    <n v="3"/>
    <n v="12500"/>
    <n v="37500"/>
  </r>
  <r>
    <x v="28"/>
    <s v="P009"/>
    <x v="8"/>
    <x v="6"/>
    <x v="0"/>
    <n v="9"/>
    <n v="1600"/>
    <n v="14400"/>
  </r>
  <r>
    <x v="29"/>
    <s v="P010"/>
    <x v="9"/>
    <x v="6"/>
    <x v="1"/>
    <n v="11"/>
    <n v="850"/>
    <n v="9350"/>
  </r>
  <r>
    <x v="30"/>
    <s v="P001"/>
    <x v="0"/>
    <x v="0"/>
    <x v="2"/>
    <n v="3"/>
    <n v="53000"/>
    <n v="159000"/>
  </r>
  <r>
    <x v="31"/>
    <s v="P002"/>
    <x v="1"/>
    <x v="1"/>
    <x v="3"/>
    <n v="7"/>
    <n v="19000"/>
    <n v="133000"/>
  </r>
  <r>
    <x v="32"/>
    <s v="P003"/>
    <x v="2"/>
    <x v="2"/>
    <x v="4"/>
    <n v="1"/>
    <n v="70000"/>
    <n v="70000"/>
  </r>
  <r>
    <x v="33"/>
    <s v="P004"/>
    <x v="3"/>
    <x v="3"/>
    <x v="6"/>
    <n v="8"/>
    <n v="3200"/>
    <n v="25600"/>
  </r>
  <r>
    <x v="34"/>
    <s v="P005"/>
    <x v="4"/>
    <x v="3"/>
    <x v="0"/>
    <n v="5"/>
    <n v="4000"/>
    <n v="20000"/>
  </r>
  <r>
    <x v="35"/>
    <s v="P006"/>
    <x v="5"/>
    <x v="4"/>
    <x v="5"/>
    <n v="2"/>
    <n v="47000"/>
    <n v="94000"/>
  </r>
  <r>
    <x v="36"/>
    <s v="P007"/>
    <x v="6"/>
    <x v="1"/>
    <x v="1"/>
    <n v="1"/>
    <n v="43000"/>
    <n v="43000"/>
  </r>
  <r>
    <x v="37"/>
    <s v="P008"/>
    <x v="7"/>
    <x v="5"/>
    <x v="7"/>
    <n v="4"/>
    <n v="12800"/>
    <n v="51200"/>
  </r>
  <r>
    <x v="38"/>
    <s v="P009"/>
    <x v="8"/>
    <x v="6"/>
    <x v="2"/>
    <n v="6"/>
    <n v="1800"/>
    <n v="10800"/>
  </r>
  <r>
    <x v="39"/>
    <s v="P010"/>
    <x v="9"/>
    <x v="6"/>
    <x v="4"/>
    <n v="12"/>
    <n v="900"/>
    <n v="10800"/>
  </r>
  <r>
    <x v="40"/>
    <s v="P001"/>
    <x v="0"/>
    <x v="7"/>
    <x v="0"/>
    <n v="2"/>
    <n v="49000"/>
    <n v="98000"/>
  </r>
  <r>
    <x v="41"/>
    <s v="P002"/>
    <x v="1"/>
    <x v="8"/>
    <x v="1"/>
    <n v="5"/>
    <n v="15500"/>
    <n v="77500"/>
  </r>
  <r>
    <x v="42"/>
    <s v="P003"/>
    <x v="2"/>
    <x v="9"/>
    <x v="5"/>
    <n v="3"/>
    <n v="54000"/>
    <n v="162000"/>
  </r>
  <r>
    <x v="43"/>
    <s v="P004"/>
    <x v="3"/>
    <x v="10"/>
    <x v="6"/>
    <n v="7"/>
    <n v="3000"/>
    <n v="21000"/>
  </r>
  <r>
    <x v="44"/>
    <s v="P005"/>
    <x v="4"/>
    <x v="1"/>
    <x v="2"/>
    <n v="4"/>
    <n v="21000"/>
    <n v="84000"/>
  </r>
  <r>
    <x v="45"/>
    <s v="P006"/>
    <x v="5"/>
    <x v="11"/>
    <x v="4"/>
    <n v="1"/>
    <n v="62000"/>
    <n v="62000"/>
  </r>
  <r>
    <x v="46"/>
    <s v="P007"/>
    <x v="6"/>
    <x v="12"/>
    <x v="3"/>
    <n v="1"/>
    <n v="39500"/>
    <n v="39500"/>
  </r>
  <r>
    <x v="47"/>
    <s v="P008"/>
    <x v="7"/>
    <x v="4"/>
    <x v="0"/>
    <n v="3"/>
    <n v="11500"/>
    <n v="34500"/>
  </r>
  <r>
    <x v="48"/>
    <s v="P009"/>
    <x v="8"/>
    <x v="0"/>
    <x v="7"/>
    <n v="8"/>
    <n v="1300"/>
    <n v="10400"/>
  </r>
  <r>
    <x v="49"/>
    <s v="P010"/>
    <x v="9"/>
    <x v="7"/>
    <x v="2"/>
    <n v="10"/>
    <n v="750"/>
    <n v="7500"/>
  </r>
  <r>
    <x v="50"/>
    <s v="P001"/>
    <x v="0"/>
    <x v="9"/>
    <x v="1"/>
    <n v="4"/>
    <n v="56000"/>
    <n v="224000"/>
  </r>
  <r>
    <x v="51"/>
    <s v="P002"/>
    <x v="1"/>
    <x v="1"/>
    <x v="5"/>
    <n v="6"/>
    <n v="16500"/>
    <n v="99000"/>
  </r>
  <r>
    <x v="52"/>
    <s v="P003"/>
    <x v="2"/>
    <x v="2"/>
    <x v="4"/>
    <n v="2"/>
    <n v="69000"/>
    <n v="138000"/>
  </r>
  <r>
    <x v="53"/>
    <s v="P004"/>
    <x v="3"/>
    <x v="3"/>
    <x v="0"/>
    <n v="5"/>
    <n v="2800"/>
    <n v="14000"/>
  </r>
  <r>
    <x v="54"/>
    <s v="P005"/>
    <x v="4"/>
    <x v="3"/>
    <x v="7"/>
    <n v="7"/>
    <n v="3300"/>
    <n v="23100"/>
  </r>
  <r>
    <x v="55"/>
    <s v="P006"/>
    <x v="5"/>
    <x v="4"/>
    <x v="6"/>
    <n v="1"/>
    <n v="48000"/>
    <n v="48000"/>
  </r>
  <r>
    <x v="56"/>
    <s v="P007"/>
    <x v="6"/>
    <x v="1"/>
    <x v="2"/>
    <n v="2"/>
    <n v="42500"/>
    <n v="85000"/>
  </r>
  <r>
    <x v="57"/>
    <s v="P008"/>
    <x v="7"/>
    <x v="5"/>
    <x v="3"/>
    <n v="3"/>
    <n v="12300"/>
    <n v="36900"/>
  </r>
  <r>
    <x v="58"/>
    <s v="P009"/>
    <x v="8"/>
    <x v="6"/>
    <x v="1"/>
    <n v="9"/>
    <n v="1500"/>
    <n v="13500"/>
  </r>
  <r>
    <x v="59"/>
    <s v="P010"/>
    <x v="9"/>
    <x v="6"/>
    <x v="0"/>
    <n v="11"/>
    <n v="950"/>
    <n v="10450"/>
  </r>
  <r>
    <x v="60"/>
    <s v="P001"/>
    <x v="0"/>
    <x v="0"/>
    <x v="2"/>
    <n v="3"/>
    <n v="51000"/>
    <n v="153000"/>
  </r>
  <r>
    <x v="61"/>
    <s v="P002"/>
    <x v="1"/>
    <x v="1"/>
    <x v="3"/>
    <n v="6"/>
    <n v="18500"/>
    <n v="111000"/>
  </r>
  <r>
    <x v="62"/>
    <s v="P003"/>
    <x v="2"/>
    <x v="2"/>
    <x v="4"/>
    <n v="1"/>
    <n v="72000"/>
    <n v="72000"/>
  </r>
  <r>
    <x v="63"/>
    <s v="P004"/>
    <x v="3"/>
    <x v="3"/>
    <x v="6"/>
    <n v="8"/>
    <n v="3100"/>
    <n v="24800"/>
  </r>
  <r>
    <x v="64"/>
    <s v="P005"/>
    <x v="4"/>
    <x v="3"/>
    <x v="0"/>
    <n v="5"/>
    <n v="3600"/>
    <n v="18000"/>
  </r>
  <r>
    <x v="65"/>
    <s v="P006"/>
    <x v="5"/>
    <x v="4"/>
    <x v="5"/>
    <n v="2"/>
    <n v="49000"/>
    <n v="98000"/>
  </r>
  <r>
    <x v="66"/>
    <s v="P007"/>
    <x v="6"/>
    <x v="1"/>
    <x v="1"/>
    <n v="1"/>
    <n v="44000"/>
    <n v="44000"/>
  </r>
  <r>
    <x v="67"/>
    <s v="P008"/>
    <x v="7"/>
    <x v="5"/>
    <x v="7"/>
    <n v="4"/>
    <n v="12700"/>
    <n v="50800"/>
  </r>
  <r>
    <x v="68"/>
    <s v="P009"/>
    <x v="8"/>
    <x v="6"/>
    <x v="2"/>
    <n v="7"/>
    <n v="1700"/>
    <n v="11900"/>
  </r>
  <r>
    <x v="69"/>
    <s v="P010"/>
    <x v="9"/>
    <x v="6"/>
    <x v="4"/>
    <n v="12"/>
    <n v="850"/>
    <n v="10200"/>
  </r>
  <r>
    <x v="70"/>
    <s v="P001"/>
    <x v="0"/>
    <x v="7"/>
    <x v="0"/>
    <n v="2"/>
    <n v="50000"/>
    <n v="100000"/>
  </r>
  <r>
    <x v="71"/>
    <s v="P002"/>
    <x v="1"/>
    <x v="8"/>
    <x v="1"/>
    <n v="5"/>
    <n v="16000"/>
    <n v="80000"/>
  </r>
  <r>
    <x v="72"/>
    <s v="P003"/>
    <x v="2"/>
    <x v="9"/>
    <x v="5"/>
    <n v="3"/>
    <n v="55000"/>
    <n v="165000"/>
  </r>
  <r>
    <x v="73"/>
    <s v="P004"/>
    <x v="3"/>
    <x v="10"/>
    <x v="6"/>
    <n v="7"/>
    <n v="2900"/>
    <n v="20300"/>
  </r>
  <r>
    <x v="74"/>
    <s v="P005"/>
    <x v="4"/>
    <x v="1"/>
    <x v="2"/>
    <n v="4"/>
    <n v="21500"/>
    <n v="86000"/>
  </r>
  <r>
    <x v="75"/>
    <s v="P006"/>
    <x v="5"/>
    <x v="11"/>
    <x v="4"/>
    <n v="1"/>
    <n v="63000"/>
    <n v="63000"/>
  </r>
  <r>
    <x v="76"/>
    <s v="P007"/>
    <x v="6"/>
    <x v="12"/>
    <x v="3"/>
    <n v="1"/>
    <n v="39800"/>
    <n v="39800"/>
  </r>
  <r>
    <x v="77"/>
    <s v="P008"/>
    <x v="7"/>
    <x v="4"/>
    <x v="0"/>
    <n v="3"/>
    <n v="11800"/>
    <n v="35400"/>
  </r>
  <r>
    <x v="78"/>
    <s v="P009"/>
    <x v="8"/>
    <x v="0"/>
    <x v="7"/>
    <n v="8"/>
    <n v="1300"/>
    <n v="10400"/>
  </r>
  <r>
    <x v="79"/>
    <s v="P010"/>
    <x v="9"/>
    <x v="7"/>
    <x v="2"/>
    <n v="10"/>
    <n v="780"/>
    <n v="7800"/>
  </r>
  <r>
    <x v="80"/>
    <s v="P001"/>
    <x v="0"/>
    <x v="9"/>
    <x v="1"/>
    <n v="4"/>
    <n v="56500"/>
    <n v="226000"/>
  </r>
  <r>
    <x v="81"/>
    <s v="P002"/>
    <x v="1"/>
    <x v="1"/>
    <x v="5"/>
    <n v="6"/>
    <n v="16900"/>
    <n v="101400"/>
  </r>
  <r>
    <x v="82"/>
    <s v="P003"/>
    <x v="2"/>
    <x v="2"/>
    <x v="4"/>
    <n v="2"/>
    <n v="70500"/>
    <n v="141000"/>
  </r>
  <r>
    <x v="83"/>
    <s v="P004"/>
    <x v="3"/>
    <x v="3"/>
    <x v="0"/>
    <n v="5"/>
    <n v="2750"/>
    <n v="13750"/>
  </r>
  <r>
    <x v="84"/>
    <s v="P005"/>
    <x v="4"/>
    <x v="3"/>
    <x v="7"/>
    <n v="7"/>
    <n v="3400"/>
    <n v="23800"/>
  </r>
  <r>
    <x v="85"/>
    <s v="P006"/>
    <x v="5"/>
    <x v="4"/>
    <x v="6"/>
    <n v="1"/>
    <n v="49000"/>
    <n v="49000"/>
  </r>
  <r>
    <x v="86"/>
    <s v="P007"/>
    <x v="6"/>
    <x v="1"/>
    <x v="2"/>
    <n v="2"/>
    <n v="42800"/>
    <n v="85600"/>
  </r>
  <r>
    <x v="87"/>
    <s v="P008"/>
    <x v="7"/>
    <x v="5"/>
    <x v="3"/>
    <n v="3"/>
    <n v="12400"/>
    <n v="37200"/>
  </r>
  <r>
    <x v="88"/>
    <s v="P009"/>
    <x v="8"/>
    <x v="6"/>
    <x v="1"/>
    <n v="9"/>
    <n v="1550"/>
    <n v="13950"/>
  </r>
  <r>
    <x v="89"/>
    <s v="P010"/>
    <x v="9"/>
    <x v="6"/>
    <x v="0"/>
    <n v="11"/>
    <n v="960"/>
    <n v="10560"/>
  </r>
  <r>
    <x v="90"/>
    <s v="P001"/>
    <x v="0"/>
    <x v="0"/>
    <x v="2"/>
    <n v="3"/>
    <n v="52500"/>
    <n v="157500"/>
  </r>
  <r>
    <x v="91"/>
    <s v="P002"/>
    <x v="1"/>
    <x v="1"/>
    <x v="3"/>
    <n v="6"/>
    <n v="18800"/>
    <n v="112800"/>
  </r>
  <r>
    <x v="92"/>
    <s v="P003"/>
    <x v="2"/>
    <x v="2"/>
    <x v="4"/>
    <n v="1"/>
    <n v="73000"/>
    <n v="73000"/>
  </r>
  <r>
    <x v="93"/>
    <s v="P004"/>
    <x v="3"/>
    <x v="3"/>
    <x v="6"/>
    <n v="8"/>
    <n v="3150"/>
    <n v="25200"/>
  </r>
  <r>
    <x v="94"/>
    <s v="P005"/>
    <x v="4"/>
    <x v="3"/>
    <x v="0"/>
    <n v="5"/>
    <n v="3700"/>
    <n v="18500"/>
  </r>
  <r>
    <x v="95"/>
    <s v="P006"/>
    <x v="5"/>
    <x v="4"/>
    <x v="5"/>
    <n v="2"/>
    <n v="49500"/>
    <n v="99000"/>
  </r>
  <r>
    <x v="96"/>
    <s v="P007"/>
    <x v="6"/>
    <x v="1"/>
    <x v="1"/>
    <n v="1"/>
    <n v="44500"/>
    <n v="44500"/>
  </r>
  <r>
    <x v="97"/>
    <s v="P008"/>
    <x v="7"/>
    <x v="5"/>
    <x v="7"/>
    <n v="4"/>
    <n v="12900"/>
    <n v="51600"/>
  </r>
  <r>
    <x v="98"/>
    <s v="P009"/>
    <x v="8"/>
    <x v="6"/>
    <x v="2"/>
    <n v="7"/>
    <n v="1750"/>
    <n v="12250"/>
  </r>
  <r>
    <x v="99"/>
    <s v="P010"/>
    <x v="9"/>
    <x v="6"/>
    <x v="4"/>
    <n v="12"/>
    <n v="870"/>
    <n v="10440"/>
  </r>
  <r>
    <x v="100"/>
    <s v="P001"/>
    <x v="0"/>
    <x v="7"/>
    <x v="0"/>
    <n v="2"/>
    <n v="50500"/>
    <n v="101000"/>
  </r>
  <r>
    <x v="101"/>
    <s v="P002"/>
    <x v="1"/>
    <x v="8"/>
    <x v="1"/>
    <n v="5"/>
    <n v="16200"/>
    <n v="81000"/>
  </r>
  <r>
    <x v="102"/>
    <s v="P003"/>
    <x v="2"/>
    <x v="9"/>
    <x v="5"/>
    <n v="3"/>
    <n v="54500"/>
    <n v="163500"/>
  </r>
  <r>
    <x v="103"/>
    <s v="P004"/>
    <x v="3"/>
    <x v="10"/>
    <x v="6"/>
    <n v="7"/>
    <n v="2950"/>
    <n v="20650"/>
  </r>
  <r>
    <x v="104"/>
    <s v="P005"/>
    <x v="4"/>
    <x v="1"/>
    <x v="2"/>
    <n v="4"/>
    <n v="22000"/>
    <n v="88000"/>
  </r>
  <r>
    <x v="105"/>
    <s v="P006"/>
    <x v="5"/>
    <x v="11"/>
    <x v="4"/>
    <n v="1"/>
    <n v="62500"/>
    <n v="62500"/>
  </r>
  <r>
    <x v="106"/>
    <s v="P007"/>
    <x v="6"/>
    <x v="12"/>
    <x v="3"/>
    <n v="1"/>
    <n v="40000"/>
    <n v="40000"/>
  </r>
  <r>
    <x v="107"/>
    <s v="P008"/>
    <x v="7"/>
    <x v="4"/>
    <x v="0"/>
    <n v="3"/>
    <n v="11700"/>
    <n v="35100"/>
  </r>
  <r>
    <x v="108"/>
    <s v="P009"/>
    <x v="8"/>
    <x v="0"/>
    <x v="7"/>
    <n v="8"/>
    <n v="1350"/>
    <n v="10800"/>
  </r>
  <r>
    <x v="109"/>
    <s v="P010"/>
    <x v="9"/>
    <x v="7"/>
    <x v="2"/>
    <n v="10"/>
    <n v="760"/>
    <n v="7600"/>
  </r>
  <r>
    <x v="110"/>
    <s v="P001"/>
    <x v="0"/>
    <x v="9"/>
    <x v="1"/>
    <n v="4"/>
    <n v="57500"/>
    <n v="230000"/>
  </r>
  <r>
    <x v="111"/>
    <s v="P002"/>
    <x v="1"/>
    <x v="1"/>
    <x v="5"/>
    <n v="6"/>
    <n v="17000"/>
    <n v="102000"/>
  </r>
  <r>
    <x v="112"/>
    <s v="P003"/>
    <x v="2"/>
    <x v="2"/>
    <x v="4"/>
    <n v="2"/>
    <n v="71000"/>
    <n v="142000"/>
  </r>
  <r>
    <x v="113"/>
    <s v="P004"/>
    <x v="3"/>
    <x v="3"/>
    <x v="0"/>
    <n v="5"/>
    <n v="2900"/>
    <n v="14500"/>
  </r>
  <r>
    <x v="114"/>
    <s v="P005"/>
    <x v="4"/>
    <x v="3"/>
    <x v="7"/>
    <n v="7"/>
    <n v="3450"/>
    <n v="24150"/>
  </r>
  <r>
    <x v="115"/>
    <s v="P006"/>
    <x v="5"/>
    <x v="4"/>
    <x v="6"/>
    <n v="1"/>
    <n v="48500"/>
    <n v="48500"/>
  </r>
  <r>
    <x v="116"/>
    <s v="P007"/>
    <x v="6"/>
    <x v="1"/>
    <x v="2"/>
    <n v="2"/>
    <n v="43000"/>
    <n v="86000"/>
  </r>
  <r>
    <x v="117"/>
    <s v="P008"/>
    <x v="7"/>
    <x v="5"/>
    <x v="3"/>
    <n v="3"/>
    <n v="12600"/>
    <n v="37800"/>
  </r>
  <r>
    <x v="118"/>
    <s v="P009"/>
    <x v="8"/>
    <x v="6"/>
    <x v="1"/>
    <n v="9"/>
    <n v="1500"/>
    <n v="13500"/>
  </r>
  <r>
    <x v="119"/>
    <s v="P010"/>
    <x v="9"/>
    <x v="6"/>
    <x v="0"/>
    <n v="11"/>
    <n v="940"/>
    <n v="10340"/>
  </r>
  <r>
    <x v="120"/>
    <s v="P001"/>
    <x v="0"/>
    <x v="0"/>
    <x v="2"/>
    <n v="3"/>
    <n v="54000"/>
    <n v="162000"/>
  </r>
  <r>
    <x v="121"/>
    <s v="P002"/>
    <x v="1"/>
    <x v="1"/>
    <x v="3"/>
    <n v="7"/>
    <n v="19500"/>
    <n v="136500"/>
  </r>
  <r>
    <x v="122"/>
    <s v="P003"/>
    <x v="2"/>
    <x v="2"/>
    <x v="4"/>
    <n v="1"/>
    <n v="75000"/>
    <n v="75000"/>
  </r>
  <r>
    <x v="123"/>
    <s v="P004"/>
    <x v="3"/>
    <x v="3"/>
    <x v="6"/>
    <n v="8"/>
    <n v="3350"/>
    <n v="26800"/>
  </r>
  <r>
    <x v="124"/>
    <s v="P005"/>
    <x v="4"/>
    <x v="3"/>
    <x v="0"/>
    <n v="5"/>
    <n v="3900"/>
    <n v="19500"/>
  </r>
  <r>
    <x v="125"/>
    <s v="P006"/>
    <x v="5"/>
    <x v="4"/>
    <x v="5"/>
    <n v="2"/>
    <n v="50500"/>
    <n v="101000"/>
  </r>
  <r>
    <x v="126"/>
    <s v="P007"/>
    <x v="6"/>
    <x v="1"/>
    <x v="1"/>
    <n v="1"/>
    <n v="45000"/>
    <n v="45000"/>
  </r>
  <r>
    <x v="127"/>
    <s v="P008"/>
    <x v="7"/>
    <x v="5"/>
    <x v="7"/>
    <n v="4"/>
    <n v="13200"/>
    <n v="52800"/>
  </r>
  <r>
    <x v="128"/>
    <s v="P009"/>
    <x v="8"/>
    <x v="6"/>
    <x v="2"/>
    <n v="7"/>
    <n v="1850"/>
    <n v="12950"/>
  </r>
  <r>
    <x v="129"/>
    <s v="P010"/>
    <x v="9"/>
    <x v="6"/>
    <x v="4"/>
    <n v="12"/>
    <n v="900"/>
    <n v="108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81BA2A-3413-490A-AAC1-A077D69A3D7A}"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4:K16" firstHeaderRow="1" firstDataRow="2" firstDataCol="1"/>
  <pivotFields count="10">
    <pivotField numFmtId="14" showAll="0">
      <items count="1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t="default"/>
      </items>
    </pivotField>
    <pivotField showAll="0"/>
    <pivotField axis="axisRow" showAll="0">
      <items count="11">
        <item x="0"/>
        <item x="1"/>
        <item x="3"/>
        <item x="8"/>
        <item x="9"/>
        <item x="2"/>
        <item x="7"/>
        <item x="6"/>
        <item x="4"/>
        <item x="5"/>
        <item t="default"/>
      </items>
    </pivotField>
    <pivotField showAll="0">
      <items count="14">
        <item x="2"/>
        <item x="0"/>
        <item x="7"/>
        <item x="5"/>
        <item x="10"/>
        <item x="9"/>
        <item x="4"/>
        <item x="6"/>
        <item x="3"/>
        <item x="1"/>
        <item x="11"/>
        <item x="8"/>
        <item x="12"/>
        <item t="default"/>
      </items>
    </pivotField>
    <pivotField axis="axisCol" showAll="0">
      <items count="9">
        <item x="2"/>
        <item x="5"/>
        <item x="1"/>
        <item x="3"/>
        <item x="7"/>
        <item x="6"/>
        <item x="0"/>
        <item x="4"/>
        <item t="default"/>
      </items>
    </pivotField>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11">
    <i>
      <x/>
    </i>
    <i>
      <x v="1"/>
    </i>
    <i>
      <x v="2"/>
    </i>
    <i>
      <x v="3"/>
    </i>
    <i>
      <x v="4"/>
    </i>
    <i>
      <x v="5"/>
    </i>
    <i>
      <x v="6"/>
    </i>
    <i>
      <x v="7"/>
    </i>
    <i>
      <x v="8"/>
    </i>
    <i>
      <x v="9"/>
    </i>
    <i t="grand">
      <x/>
    </i>
  </rowItems>
  <colFields count="1">
    <field x="4"/>
  </colFields>
  <colItems count="9">
    <i>
      <x/>
    </i>
    <i>
      <x v="1"/>
    </i>
    <i>
      <x v="2"/>
    </i>
    <i>
      <x v="3"/>
    </i>
    <i>
      <x v="4"/>
    </i>
    <i>
      <x v="5"/>
    </i>
    <i>
      <x v="6"/>
    </i>
    <i>
      <x v="7"/>
    </i>
    <i t="grand">
      <x/>
    </i>
  </colItems>
  <dataFields count="1">
    <dataField name="Sum of Total Sales" fld="7" baseField="0" baseItem="0"/>
  </dataFields>
  <formats count="1">
    <format dxfId="0">
      <pivotArea type="all" dataOnly="0" outline="0" fieldPosition="0"/>
    </format>
  </formats>
  <conditionalFormats count="1">
    <conditionalFormat scope="field" priority="1">
      <pivotAreas count="1">
        <pivotArea outline="0" collapsedLevelsAreSubtotals="1" fieldPosition="0">
          <references count="2">
            <reference field="4294967294" count="1" selected="0">
              <x v="0"/>
            </reference>
            <reference field="2"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53BB41-7201-4427-A49D-ECFDC1E8730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I20:J31" firstHeaderRow="1" firstDataRow="1" firstDataCol="1"/>
  <pivotFields count="10">
    <pivotField numFmtId="14" showAll="0">
      <items count="1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t="default"/>
      </items>
    </pivotField>
    <pivotField showAll="0"/>
    <pivotField axis="axisRow" showAll="0">
      <items count="11">
        <item x="0"/>
        <item x="1"/>
        <item x="3"/>
        <item x="8"/>
        <item x="9"/>
        <item x="2"/>
        <item x="7"/>
        <item x="6"/>
        <item x="4"/>
        <item x="5"/>
        <item t="default"/>
      </items>
    </pivotField>
    <pivotField showAll="0">
      <items count="14">
        <item x="2"/>
        <item x="0"/>
        <item x="7"/>
        <item x="5"/>
        <item x="10"/>
        <item x="9"/>
        <item x="4"/>
        <item x="6"/>
        <item x="3"/>
        <item x="1"/>
        <item x="11"/>
        <item x="8"/>
        <item x="12"/>
        <item t="default"/>
      </items>
    </pivotField>
    <pivotField showAll="0">
      <items count="9">
        <item x="2"/>
        <item x="5"/>
        <item x="1"/>
        <item x="3"/>
        <item x="7"/>
        <item x="6"/>
        <item x="0"/>
        <item x="4"/>
        <item t="default"/>
      </items>
    </pivotField>
    <pivotField dataFiel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11">
    <i>
      <x/>
    </i>
    <i>
      <x v="1"/>
    </i>
    <i>
      <x v="2"/>
    </i>
    <i>
      <x v="3"/>
    </i>
    <i>
      <x v="4"/>
    </i>
    <i>
      <x v="5"/>
    </i>
    <i>
      <x v="6"/>
    </i>
    <i>
      <x v="7"/>
    </i>
    <i>
      <x v="8"/>
    </i>
    <i>
      <x v="9"/>
    </i>
    <i t="grand">
      <x/>
    </i>
  </rowItems>
  <colItems count="1">
    <i/>
  </colItems>
  <dataFields count="1">
    <dataField name="Sum of Total Quantity" fld="5" baseField="0" baseItem="0"/>
  </dataFields>
  <chartFormats count="1">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D55055E-F6A7-4FAB-8C74-D96CEBE1E37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M5:N19" firstHeaderRow="1" firstDataRow="1" firstDataCol="1"/>
  <pivotFields count="10">
    <pivotField numFmtId="14" showAll="0">
      <items count="1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t="default"/>
      </items>
    </pivotField>
    <pivotField showAll="0"/>
    <pivotField showAll="0">
      <items count="11">
        <item x="0"/>
        <item x="1"/>
        <item x="3"/>
        <item x="8"/>
        <item x="9"/>
        <item x="2"/>
        <item x="7"/>
        <item x="6"/>
        <item x="4"/>
        <item x="5"/>
        <item t="default"/>
      </items>
    </pivotField>
    <pivotField axis="axisRow" showAll="0">
      <items count="14">
        <item x="2"/>
        <item x="0"/>
        <item x="7"/>
        <item x="5"/>
        <item x="10"/>
        <item x="9"/>
        <item x="4"/>
        <item x="6"/>
        <item x="3"/>
        <item x="1"/>
        <item x="11"/>
        <item x="8"/>
        <item x="12"/>
        <item t="default"/>
      </items>
    </pivotField>
    <pivotField showAll="0">
      <items count="9">
        <item x="2"/>
        <item x="5"/>
        <item x="1"/>
        <item x="3"/>
        <item x="7"/>
        <item x="6"/>
        <item x="0"/>
        <item x="4"/>
        <item t="default"/>
      </items>
    </pivotField>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14">
    <i>
      <x/>
    </i>
    <i>
      <x v="1"/>
    </i>
    <i>
      <x v="2"/>
    </i>
    <i>
      <x v="3"/>
    </i>
    <i>
      <x v="4"/>
    </i>
    <i>
      <x v="5"/>
    </i>
    <i>
      <x v="6"/>
    </i>
    <i>
      <x v="7"/>
    </i>
    <i>
      <x v="8"/>
    </i>
    <i>
      <x v="9"/>
    </i>
    <i>
      <x v="10"/>
    </i>
    <i>
      <x v="11"/>
    </i>
    <i>
      <x v="12"/>
    </i>
    <i t="grand">
      <x/>
    </i>
  </rowItems>
  <colItems count="1">
    <i/>
  </colItems>
  <dataFields count="1">
    <dataField name="Sum of Total Sales" fld="7" baseField="0" baseItem="0"/>
  </dataFields>
  <chartFormats count="15">
    <chartFormat chart="6" format="15" series="1">
      <pivotArea type="data" outline="0" fieldPosition="0">
        <references count="1">
          <reference field="4294967294" count="1" selected="0">
            <x v="0"/>
          </reference>
        </references>
      </pivotArea>
    </chartFormat>
    <chartFormat chart="6" format="16">
      <pivotArea type="data" outline="0" fieldPosition="0">
        <references count="2">
          <reference field="4294967294" count="1" selected="0">
            <x v="0"/>
          </reference>
          <reference field="3" count="1" selected="0">
            <x v="0"/>
          </reference>
        </references>
      </pivotArea>
    </chartFormat>
    <chartFormat chart="6" format="17">
      <pivotArea type="data" outline="0" fieldPosition="0">
        <references count="2">
          <reference field="4294967294" count="1" selected="0">
            <x v="0"/>
          </reference>
          <reference field="3" count="1" selected="0">
            <x v="1"/>
          </reference>
        </references>
      </pivotArea>
    </chartFormat>
    <chartFormat chart="6" format="18">
      <pivotArea type="data" outline="0" fieldPosition="0">
        <references count="2">
          <reference field="4294967294" count="1" selected="0">
            <x v="0"/>
          </reference>
          <reference field="3" count="1" selected="0">
            <x v="2"/>
          </reference>
        </references>
      </pivotArea>
    </chartFormat>
    <chartFormat chart="6" format="19">
      <pivotArea type="data" outline="0" fieldPosition="0">
        <references count="2">
          <reference field="4294967294" count="1" selected="0">
            <x v="0"/>
          </reference>
          <reference field="3" count="1" selected="0">
            <x v="3"/>
          </reference>
        </references>
      </pivotArea>
    </chartFormat>
    <chartFormat chart="6" format="20">
      <pivotArea type="data" outline="0" fieldPosition="0">
        <references count="2">
          <reference field="4294967294" count="1" selected="0">
            <x v="0"/>
          </reference>
          <reference field="3" count="1" selected="0">
            <x v="4"/>
          </reference>
        </references>
      </pivotArea>
    </chartFormat>
    <chartFormat chart="6" format="21">
      <pivotArea type="data" outline="0" fieldPosition="0">
        <references count="2">
          <reference field="4294967294" count="1" selected="0">
            <x v="0"/>
          </reference>
          <reference field="3" count="1" selected="0">
            <x v="5"/>
          </reference>
        </references>
      </pivotArea>
    </chartFormat>
    <chartFormat chart="6" format="22">
      <pivotArea type="data" outline="0" fieldPosition="0">
        <references count="2">
          <reference field="4294967294" count="1" selected="0">
            <x v="0"/>
          </reference>
          <reference field="3" count="1" selected="0">
            <x v="6"/>
          </reference>
        </references>
      </pivotArea>
    </chartFormat>
    <chartFormat chart="6" format="23">
      <pivotArea type="data" outline="0" fieldPosition="0">
        <references count="2">
          <reference field="4294967294" count="1" selected="0">
            <x v="0"/>
          </reference>
          <reference field="3" count="1" selected="0">
            <x v="7"/>
          </reference>
        </references>
      </pivotArea>
    </chartFormat>
    <chartFormat chart="6" format="24">
      <pivotArea type="data" outline="0" fieldPosition="0">
        <references count="2">
          <reference field="4294967294" count="1" selected="0">
            <x v="0"/>
          </reference>
          <reference field="3" count="1" selected="0">
            <x v="8"/>
          </reference>
        </references>
      </pivotArea>
    </chartFormat>
    <chartFormat chart="6" format="25">
      <pivotArea type="data" outline="0" fieldPosition="0">
        <references count="2">
          <reference field="4294967294" count="1" selected="0">
            <x v="0"/>
          </reference>
          <reference field="3" count="1" selected="0">
            <x v="9"/>
          </reference>
        </references>
      </pivotArea>
    </chartFormat>
    <chartFormat chart="6" format="26">
      <pivotArea type="data" outline="0" fieldPosition="0">
        <references count="2">
          <reference field="4294967294" count="1" selected="0">
            <x v="0"/>
          </reference>
          <reference field="3" count="1" selected="0">
            <x v="10"/>
          </reference>
        </references>
      </pivotArea>
    </chartFormat>
    <chartFormat chart="6" format="27">
      <pivotArea type="data" outline="0" fieldPosition="0">
        <references count="2">
          <reference field="4294967294" count="1" selected="0">
            <x v="0"/>
          </reference>
          <reference field="3" count="1" selected="0">
            <x v="11"/>
          </reference>
        </references>
      </pivotArea>
    </chartFormat>
    <chartFormat chart="6" format="28">
      <pivotArea type="data" outline="0" fieldPosition="0">
        <references count="2">
          <reference field="4294967294" count="1" selected="0">
            <x v="0"/>
          </reference>
          <reference field="3" count="1" selected="0">
            <x v="12"/>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AC4020A-C972-4324-A459-5F0CC6D08F0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C20:D31" firstHeaderRow="1" firstDataRow="1" firstDataCol="1"/>
  <pivotFields count="10">
    <pivotField numFmtId="14" showAll="0">
      <items count="1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t="default"/>
      </items>
    </pivotField>
    <pivotField showAll="0"/>
    <pivotField axis="axisRow" showAll="0" sortType="ascending">
      <items count="11">
        <item x="0"/>
        <item x="1"/>
        <item x="3"/>
        <item x="8"/>
        <item x="9"/>
        <item x="2"/>
        <item x="7"/>
        <item x="6"/>
        <item x="4"/>
        <item x="5"/>
        <item t="default"/>
      </items>
    </pivotField>
    <pivotField showAll="0">
      <items count="14">
        <item x="2"/>
        <item x="0"/>
        <item x="7"/>
        <item x="5"/>
        <item x="10"/>
        <item x="9"/>
        <item x="4"/>
        <item x="6"/>
        <item x="3"/>
        <item x="1"/>
        <item x="11"/>
        <item x="8"/>
        <item x="12"/>
        <item t="default"/>
      </items>
    </pivotField>
    <pivotField showAll="0">
      <items count="9">
        <item x="2"/>
        <item x="5"/>
        <item x="1"/>
        <item x="3"/>
        <item x="7"/>
        <item x="6"/>
        <item x="0"/>
        <item x="4"/>
        <item t="default"/>
      </items>
    </pivotField>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11">
    <i>
      <x/>
    </i>
    <i>
      <x v="1"/>
    </i>
    <i>
      <x v="2"/>
    </i>
    <i>
      <x v="3"/>
    </i>
    <i>
      <x v="4"/>
    </i>
    <i>
      <x v="5"/>
    </i>
    <i>
      <x v="6"/>
    </i>
    <i>
      <x v="7"/>
    </i>
    <i>
      <x v="8"/>
    </i>
    <i>
      <x v="9"/>
    </i>
    <i t="grand">
      <x/>
    </i>
  </rowItems>
  <colItems count="1">
    <i/>
  </colItems>
  <dataFields count="1">
    <dataField name="Sum of Total Sales" fld="7" baseField="0" baseItem="0"/>
  </dataFields>
  <chartFormats count="1">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608E4E6-82B8-4035-87AE-2A80E7FF310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M23:N36" firstHeaderRow="1" firstDataRow="1" firstDataCol="1"/>
  <pivotFields count="10">
    <pivotField numFmtId="14" showAll="0">
      <items count="1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t="default"/>
      </items>
    </pivotField>
    <pivotField showAll="0"/>
    <pivotField showAll="0">
      <items count="11">
        <item x="0"/>
        <item x="1"/>
        <item x="3"/>
        <item x="8"/>
        <item x="9"/>
        <item x="2"/>
        <item x="7"/>
        <item x="6"/>
        <item x="4"/>
        <item x="5"/>
        <item t="default"/>
      </items>
    </pivotField>
    <pivotField showAll="0">
      <items count="14">
        <item x="2"/>
        <item x="0"/>
        <item x="7"/>
        <item x="5"/>
        <item x="10"/>
        <item x="9"/>
        <item x="4"/>
        <item x="6"/>
        <item x="3"/>
        <item x="1"/>
        <item x="11"/>
        <item x="8"/>
        <item x="12"/>
        <item t="default"/>
      </items>
    </pivotField>
    <pivotField showAll="0">
      <items count="9">
        <item x="2"/>
        <item x="5"/>
        <item x="1"/>
        <item x="3"/>
        <item x="7"/>
        <item x="6"/>
        <item x="0"/>
        <item x="4"/>
        <item t="default"/>
      </items>
    </pivotField>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13">
    <i>
      <x v="1"/>
    </i>
    <i>
      <x v="2"/>
    </i>
    <i>
      <x v="3"/>
    </i>
    <i>
      <x v="4"/>
    </i>
    <i>
      <x v="5"/>
    </i>
    <i>
      <x v="6"/>
    </i>
    <i>
      <x v="7"/>
    </i>
    <i>
      <x v="8"/>
    </i>
    <i>
      <x v="9"/>
    </i>
    <i>
      <x v="10"/>
    </i>
    <i>
      <x v="11"/>
    </i>
    <i>
      <x v="12"/>
    </i>
    <i t="grand">
      <x/>
    </i>
  </rowItems>
  <colItems count="1">
    <i/>
  </colItems>
  <dataFields count="1">
    <dataField name="Sum of Total Sales" fld="7" baseField="0" baseItem="0"/>
  </dataField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4BE44A5-244A-4A04-B186-0AA03230B57B}" name="PivotTable1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8">
  <location ref="F20:G31" firstHeaderRow="1" firstDataRow="1" firstDataCol="1"/>
  <pivotFields count="10">
    <pivotField numFmtId="14" showAll="0">
      <items count="1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t="default"/>
      </items>
    </pivotField>
    <pivotField showAll="0"/>
    <pivotField axis="axisRow" showAll="0">
      <items count="11">
        <item x="0"/>
        <item x="1"/>
        <item x="3"/>
        <item x="8"/>
        <item x="9"/>
        <item x="2"/>
        <item x="7"/>
        <item x="6"/>
        <item x="4"/>
        <item x="5"/>
        <item t="default"/>
      </items>
    </pivotField>
    <pivotField showAll="0">
      <items count="14">
        <item x="2"/>
        <item x="0"/>
        <item x="7"/>
        <item x="5"/>
        <item x="10"/>
        <item x="9"/>
        <item x="4"/>
        <item x="6"/>
        <item x="3"/>
        <item x="1"/>
        <item x="11"/>
        <item x="8"/>
        <item x="12"/>
        <item t="default"/>
      </items>
    </pivotField>
    <pivotField showAll="0">
      <items count="9">
        <item x="2"/>
        <item x="5"/>
        <item x="1"/>
        <item x="3"/>
        <item x="7"/>
        <item x="6"/>
        <item x="0"/>
        <item x="4"/>
        <item t="default"/>
      </items>
    </pivotField>
    <pivotField dataFiel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11">
    <i>
      <x/>
    </i>
    <i>
      <x v="1"/>
    </i>
    <i>
      <x v="2"/>
    </i>
    <i>
      <x v="3"/>
    </i>
    <i>
      <x v="4"/>
    </i>
    <i>
      <x v="5"/>
    </i>
    <i>
      <x v="6"/>
    </i>
    <i>
      <x v="7"/>
    </i>
    <i>
      <x v="8"/>
    </i>
    <i>
      <x v="9"/>
    </i>
    <i t="grand">
      <x/>
    </i>
  </rowItems>
  <colItems count="1">
    <i/>
  </colItems>
  <dataFields count="1">
    <dataField name="Sum of Total Quantity" fld="5" baseField="0" baseItem="0"/>
  </dataFields>
  <chartFormats count="1">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0FD6B06-FE91-4CCF-B837-40FD28C9CCA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C35:D44" firstHeaderRow="1" firstDataRow="1" firstDataCol="1"/>
  <pivotFields count="10">
    <pivotField numFmtId="14" showAll="0">
      <items count="1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t="default"/>
      </items>
    </pivotField>
    <pivotField showAll="0"/>
    <pivotField showAll="0">
      <items count="11">
        <item x="0"/>
        <item x="1"/>
        <item x="3"/>
        <item x="8"/>
        <item x="9"/>
        <item x="2"/>
        <item x="7"/>
        <item x="6"/>
        <item x="4"/>
        <item x="5"/>
        <item t="default"/>
      </items>
    </pivotField>
    <pivotField showAll="0">
      <items count="14">
        <item x="2"/>
        <item x="0"/>
        <item x="7"/>
        <item x="5"/>
        <item x="10"/>
        <item x="9"/>
        <item x="4"/>
        <item x="6"/>
        <item x="3"/>
        <item x="1"/>
        <item x="11"/>
        <item x="8"/>
        <item x="12"/>
        <item t="default"/>
      </items>
    </pivotField>
    <pivotField axis="axisRow" showAll="0">
      <items count="9">
        <item x="2"/>
        <item x="5"/>
        <item x="1"/>
        <item x="3"/>
        <item x="7"/>
        <item x="6"/>
        <item x="0"/>
        <item x="4"/>
        <item t="default"/>
      </items>
    </pivotField>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9">
    <i>
      <x/>
    </i>
    <i>
      <x v="1"/>
    </i>
    <i>
      <x v="2"/>
    </i>
    <i>
      <x v="3"/>
    </i>
    <i>
      <x v="4"/>
    </i>
    <i>
      <x v="5"/>
    </i>
    <i>
      <x v="6"/>
    </i>
    <i>
      <x v="7"/>
    </i>
    <i t="grand">
      <x/>
    </i>
  </rowItems>
  <colItems count="1">
    <i/>
  </colItems>
  <dataFields count="1">
    <dataField name="Sum of Total Sales" fld="7"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59046AAF-73D5-42D5-AF7C-57F36F234E9A}" sourceName="Brand">
  <pivotTables>
    <pivotTable tabId="2" name="PivotTable3"/>
    <pivotTable tabId="2" name="PivotTable1"/>
    <pivotTable tabId="2" name="PivotTable2"/>
    <pivotTable tabId="2" name="PivotTable4"/>
    <pivotTable tabId="2" name="PivotTable8"/>
    <pivotTable tabId="2" name="PivotTable10"/>
    <pivotTable tabId="2" name="PivotTable11"/>
  </pivotTables>
  <data>
    <tabular pivotCacheId="505556604">
      <items count="13">
        <i x="2" s="1"/>
        <i x="0" s="1"/>
        <i x="7" s="1"/>
        <i x="5" s="1"/>
        <i x="10" s="1"/>
        <i x="9" s="1"/>
        <i x="4" s="1"/>
        <i x="6" s="1"/>
        <i x="3" s="1"/>
        <i x="1" s="1"/>
        <i x="11" s="1"/>
        <i x="8" s="1"/>
        <i x="1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FB902B51-CB12-41FA-975A-ABE5632C1AB3}" sourceName="City">
  <pivotTables>
    <pivotTable tabId="2" name="PivotTable4"/>
    <pivotTable tabId="2" name="PivotTable1"/>
    <pivotTable tabId="2" name="PivotTable2"/>
    <pivotTable tabId="2" name="PivotTable3"/>
    <pivotTable tabId="2" name="PivotTable8"/>
    <pivotTable tabId="2" name="PivotTable10"/>
    <pivotTable tabId="2" name="PivotTable11"/>
  </pivotTables>
  <data>
    <tabular pivotCacheId="505556604">
      <items count="8">
        <i x="2" s="1"/>
        <i x="5" s="1"/>
        <i x="1" s="1"/>
        <i x="3" s="1"/>
        <i x="7" s="1"/>
        <i x="6" s="1"/>
        <i x="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7A32F074-BA57-46B1-B934-42CABE084309}" sourceName="Months (Date)">
  <pivotTables>
    <pivotTable tabId="2" name="PivotTable1"/>
    <pivotTable tabId="2" name="PivotTable2"/>
    <pivotTable tabId="2" name="PivotTable3"/>
    <pivotTable tabId="2" name="PivotTable4"/>
    <pivotTable tabId="2" name="PivotTable8"/>
    <pivotTable tabId="2" name="PivotTable10"/>
    <pivotTable tabId="2" name="PivotTable11"/>
  </pivotTables>
  <data>
    <tabular pivotCacheId="505556604">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B469AE1B-5E1E-41A9-A9BD-AD38DBCAB522}" sourceName="Product">
  <pivotTables>
    <pivotTable tabId="2" name="PivotTable2"/>
    <pivotTable tabId="2" name="PivotTable1"/>
    <pivotTable tabId="2" name="PivotTable3"/>
    <pivotTable tabId="2" name="PivotTable4"/>
    <pivotTable tabId="2" name="PivotTable8"/>
    <pivotTable tabId="2" name="PivotTable10"/>
    <pivotTable tabId="2" name="PivotTable11"/>
  </pivotTables>
  <data>
    <tabular pivotCacheId="505556604">
      <items count="10">
        <i x="0" s="1"/>
        <i x="1" s="1"/>
        <i x="3" s="1"/>
        <i x="8" s="1"/>
        <i x="9" s="1"/>
        <i x="2" s="1"/>
        <i x="7" s="1"/>
        <i x="6"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3741A90D-51AA-4FEC-8404-58A791E463A4}" cache="Slicer_Brand" caption="Brand" columnCount="2" style="SlicerStyleLight2" rowHeight="324000"/>
  <slicer name="City" xr10:uid="{DB5B7389-ADC2-45CE-B659-EAEA847ACE1C}" cache="Slicer_City" caption="City" columnCount="2" style="SlicerStyleDark5" rowHeight="396000"/>
  <slicer name="Months (Date)" xr10:uid="{B385F101-A99D-4D1A-ADE1-40FA54027DAA}" cache="Slicer_Months__Date" caption="Months (Date)" columnCount="2" style="SlicerStyleLight6" rowHeight="396000"/>
  <slicer name="Product" xr10:uid="{9AD95E8B-4888-4E94-B7B4-128B2DB38461}" cache="Slicer_Product" caption="Product" columnCount="2" style="SlicerStyleDark1" rowHeight="46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DB8AA19-6B23-477F-8922-E171159A40A5}" name="Table1" displayName="Table1" ref="B6:I136" totalsRowShown="0" headerRowDxfId="13" dataDxfId="11" headerRowBorderDxfId="12" tableBorderDxfId="10" totalsRowBorderDxfId="9">
  <autoFilter ref="B6:I136" xr:uid="{1DB8AA19-6B23-477F-8922-E171159A40A5}"/>
  <tableColumns count="8">
    <tableColumn id="1" xr3:uid="{3C1EA6E6-167E-4B50-BBCE-62A55008D86C}" name="Date" dataDxfId="8"/>
    <tableColumn id="2" xr3:uid="{2190B78A-650E-4B2A-9B55-E81FBFE5A329}" name="Product Code" dataDxfId="7"/>
    <tableColumn id="3" xr3:uid="{4EA66904-AA7F-4B51-A1F4-FE1A133035BA}" name="Product" dataDxfId="6"/>
    <tableColumn id="4" xr3:uid="{73744F83-6915-4F23-9925-D8B5F28F85C5}" name="Brand" dataDxfId="5"/>
    <tableColumn id="5" xr3:uid="{74634554-19A9-4F38-9ADE-296925E6B9F3}" name="City" dataDxfId="4"/>
    <tableColumn id="6" xr3:uid="{8C956A01-0035-4827-99E1-8B7DF1F288DA}" name="Total Quantity" dataDxfId="3"/>
    <tableColumn id="7" xr3:uid="{84BCA531-11C1-4251-B154-5B4516C3EF6B}" name="Rate" dataDxfId="2"/>
    <tableColumn id="8" xr3:uid="{A18A1666-6F52-48E8-BB87-3EB2AE714CB6}" name="Total Sales"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35730-BE68-41DC-B171-BF89AD192668}">
  <dimension ref="A1:J141"/>
  <sheetViews>
    <sheetView zoomScale="71" zoomScaleNormal="85" workbookViewId="0">
      <selection activeCell="P15" sqref="P15"/>
    </sheetView>
  </sheetViews>
  <sheetFormatPr defaultRowHeight="14.5" x14ac:dyDescent="0.35"/>
  <cols>
    <col min="2" max="9" width="15.6328125" customWidth="1"/>
  </cols>
  <sheetData>
    <row r="1" spans="1:10" x14ac:dyDescent="0.35">
      <c r="A1" s="18"/>
      <c r="B1" s="18"/>
      <c r="C1" s="18"/>
      <c r="D1" s="18"/>
      <c r="E1" s="18"/>
      <c r="F1" s="18"/>
      <c r="G1" s="18"/>
      <c r="H1" s="18"/>
      <c r="I1" s="18"/>
      <c r="J1" s="18"/>
    </row>
    <row r="2" spans="1:10" ht="18.5" customHeight="1" x14ac:dyDescent="0.35">
      <c r="A2" s="18"/>
      <c r="B2" s="22" t="s">
        <v>49</v>
      </c>
      <c r="C2" s="22"/>
      <c r="D2" s="22"/>
      <c r="E2" s="22"/>
      <c r="F2" s="22"/>
      <c r="G2" s="22"/>
      <c r="H2" s="22"/>
      <c r="I2" s="22"/>
      <c r="J2" s="18"/>
    </row>
    <row r="3" spans="1:10" ht="18.5" customHeight="1" x14ac:dyDescent="0.35">
      <c r="A3" s="18"/>
      <c r="B3" s="22"/>
      <c r="C3" s="22"/>
      <c r="D3" s="22"/>
      <c r="E3" s="22"/>
      <c r="F3" s="22"/>
      <c r="G3" s="22"/>
      <c r="H3" s="22"/>
      <c r="I3" s="22"/>
      <c r="J3" s="18"/>
    </row>
    <row r="4" spans="1:10" x14ac:dyDescent="0.35">
      <c r="A4" s="18"/>
      <c r="B4" s="18"/>
      <c r="C4" s="18"/>
      <c r="D4" s="18"/>
      <c r="E4" s="18"/>
      <c r="F4" s="18"/>
      <c r="G4" s="18"/>
      <c r="H4" s="18"/>
      <c r="I4" s="18"/>
      <c r="J4" s="18"/>
    </row>
    <row r="5" spans="1:10" x14ac:dyDescent="0.35">
      <c r="A5" s="18"/>
      <c r="B5" s="18"/>
      <c r="C5" s="18"/>
      <c r="D5" s="18"/>
      <c r="E5" s="18"/>
      <c r="F5" s="18"/>
      <c r="G5" s="18"/>
      <c r="H5" s="18"/>
      <c r="I5" s="18"/>
      <c r="J5" s="18"/>
    </row>
    <row r="6" spans="1:10" ht="20" customHeight="1" x14ac:dyDescent="0.4">
      <c r="A6" s="18"/>
      <c r="B6" s="19" t="s">
        <v>0</v>
      </c>
      <c r="C6" s="20" t="s">
        <v>1</v>
      </c>
      <c r="D6" s="20" t="s">
        <v>2</v>
      </c>
      <c r="E6" s="20" t="s">
        <v>3</v>
      </c>
      <c r="F6" s="20" t="s">
        <v>4</v>
      </c>
      <c r="G6" s="20" t="s">
        <v>5</v>
      </c>
      <c r="H6" s="20" t="s">
        <v>6</v>
      </c>
      <c r="I6" s="21" t="s">
        <v>7</v>
      </c>
      <c r="J6" s="18"/>
    </row>
    <row r="7" spans="1:10" ht="20" customHeight="1" x14ac:dyDescent="0.35">
      <c r="A7" s="18"/>
      <c r="B7" s="2">
        <v>45660</v>
      </c>
      <c r="C7" s="1" t="s">
        <v>8</v>
      </c>
      <c r="D7" s="1" t="s">
        <v>9</v>
      </c>
      <c r="E7" s="1" t="s">
        <v>10</v>
      </c>
      <c r="F7" s="1" t="s">
        <v>11</v>
      </c>
      <c r="G7" s="1">
        <v>3</v>
      </c>
      <c r="H7" s="1">
        <v>52000</v>
      </c>
      <c r="I7" s="3">
        <v>156000</v>
      </c>
      <c r="J7" s="18"/>
    </row>
    <row r="8" spans="1:10" ht="20" customHeight="1" x14ac:dyDescent="0.35">
      <c r="A8" s="18"/>
      <c r="B8" s="2">
        <v>45665</v>
      </c>
      <c r="C8" s="1" t="s">
        <v>12</v>
      </c>
      <c r="D8" s="1" t="s">
        <v>13</v>
      </c>
      <c r="E8" s="1" t="s">
        <v>14</v>
      </c>
      <c r="F8" s="1" t="s">
        <v>15</v>
      </c>
      <c r="G8" s="1">
        <v>5</v>
      </c>
      <c r="H8" s="1">
        <v>18000</v>
      </c>
      <c r="I8" s="3">
        <v>90000</v>
      </c>
      <c r="J8" s="18"/>
    </row>
    <row r="9" spans="1:10" ht="20" customHeight="1" x14ac:dyDescent="0.35">
      <c r="A9" s="18"/>
      <c r="B9" s="2">
        <v>45669</v>
      </c>
      <c r="C9" s="1" t="s">
        <v>16</v>
      </c>
      <c r="D9" s="1" t="s">
        <v>17</v>
      </c>
      <c r="E9" s="1" t="s">
        <v>18</v>
      </c>
      <c r="F9" s="1" t="s">
        <v>19</v>
      </c>
      <c r="G9" s="1">
        <v>2</v>
      </c>
      <c r="H9" s="1">
        <v>65000</v>
      </c>
      <c r="I9" s="3">
        <v>130000</v>
      </c>
      <c r="J9" s="18"/>
    </row>
    <row r="10" spans="1:10" ht="20" customHeight="1" x14ac:dyDescent="0.35">
      <c r="A10" s="18"/>
      <c r="B10" s="2">
        <v>45672</v>
      </c>
      <c r="C10" s="1" t="s">
        <v>20</v>
      </c>
      <c r="D10" s="1" t="s">
        <v>21</v>
      </c>
      <c r="E10" s="1" t="s">
        <v>22</v>
      </c>
      <c r="F10" s="1" t="s">
        <v>23</v>
      </c>
      <c r="G10" s="1">
        <v>10</v>
      </c>
      <c r="H10" s="1">
        <v>2500</v>
      </c>
      <c r="I10" s="3">
        <v>25000</v>
      </c>
      <c r="J10" s="18"/>
    </row>
    <row r="11" spans="1:10" ht="20" customHeight="1" x14ac:dyDescent="0.35">
      <c r="A11" s="18"/>
      <c r="B11" s="2">
        <v>45677</v>
      </c>
      <c r="C11" s="1" t="s">
        <v>24</v>
      </c>
      <c r="D11" s="1" t="s">
        <v>25</v>
      </c>
      <c r="E11" s="1" t="s">
        <v>22</v>
      </c>
      <c r="F11" s="1" t="s">
        <v>26</v>
      </c>
      <c r="G11" s="1">
        <v>7</v>
      </c>
      <c r="H11" s="1">
        <v>3000</v>
      </c>
      <c r="I11" s="3">
        <v>21000</v>
      </c>
      <c r="J11" s="18"/>
    </row>
    <row r="12" spans="1:10" ht="20" customHeight="1" x14ac:dyDescent="0.35">
      <c r="A12" s="18"/>
      <c r="B12" s="2">
        <v>45679</v>
      </c>
      <c r="C12" s="1" t="s">
        <v>27</v>
      </c>
      <c r="D12" s="1" t="s">
        <v>28</v>
      </c>
      <c r="E12" s="1" t="s">
        <v>29</v>
      </c>
      <c r="F12" s="1" t="s">
        <v>30</v>
      </c>
      <c r="G12" s="1">
        <v>2</v>
      </c>
      <c r="H12" s="1">
        <v>45000</v>
      </c>
      <c r="I12" s="3">
        <v>90000</v>
      </c>
      <c r="J12" s="18"/>
    </row>
    <row r="13" spans="1:10" ht="20" customHeight="1" x14ac:dyDescent="0.35">
      <c r="A13" s="18"/>
      <c r="B13" s="2">
        <v>45682</v>
      </c>
      <c r="C13" s="1" t="s">
        <v>31</v>
      </c>
      <c r="D13" s="1" t="s">
        <v>32</v>
      </c>
      <c r="E13" s="1" t="s">
        <v>14</v>
      </c>
      <c r="F13" s="1" t="s">
        <v>33</v>
      </c>
      <c r="G13" s="1">
        <v>1</v>
      </c>
      <c r="H13" s="1">
        <v>41000</v>
      </c>
      <c r="I13" s="3">
        <v>41000</v>
      </c>
      <c r="J13" s="18"/>
    </row>
    <row r="14" spans="1:10" ht="20" customHeight="1" x14ac:dyDescent="0.35">
      <c r="A14" s="18"/>
      <c r="B14" s="2">
        <v>45685</v>
      </c>
      <c r="C14" s="1" t="s">
        <v>34</v>
      </c>
      <c r="D14" s="1" t="s">
        <v>35</v>
      </c>
      <c r="E14" s="1" t="s">
        <v>36</v>
      </c>
      <c r="F14" s="1" t="s">
        <v>37</v>
      </c>
      <c r="G14" s="1">
        <v>4</v>
      </c>
      <c r="H14" s="1">
        <v>12000</v>
      </c>
      <c r="I14" s="3">
        <v>48000</v>
      </c>
      <c r="J14" s="18"/>
    </row>
    <row r="15" spans="1:10" ht="20" customHeight="1" x14ac:dyDescent="0.35">
      <c r="A15" s="18"/>
      <c r="B15" s="2">
        <v>45687</v>
      </c>
      <c r="C15" s="1" t="s">
        <v>38</v>
      </c>
      <c r="D15" s="1" t="s">
        <v>39</v>
      </c>
      <c r="E15" s="1" t="s">
        <v>40</v>
      </c>
      <c r="F15" s="1" t="s">
        <v>11</v>
      </c>
      <c r="G15" s="1">
        <v>8</v>
      </c>
      <c r="H15" s="1">
        <v>1500</v>
      </c>
      <c r="I15" s="3">
        <v>12000</v>
      </c>
      <c r="J15" s="18"/>
    </row>
    <row r="16" spans="1:10" ht="20" customHeight="1" x14ac:dyDescent="0.35">
      <c r="A16" s="18"/>
      <c r="B16" s="2">
        <v>45688</v>
      </c>
      <c r="C16" s="1" t="s">
        <v>41</v>
      </c>
      <c r="D16" s="1" t="s">
        <v>42</v>
      </c>
      <c r="E16" s="1" t="s">
        <v>40</v>
      </c>
      <c r="F16" s="1" t="s">
        <v>15</v>
      </c>
      <c r="G16" s="1">
        <v>12</v>
      </c>
      <c r="H16" s="1">
        <v>800</v>
      </c>
      <c r="I16" s="3">
        <v>9600</v>
      </c>
      <c r="J16" s="18"/>
    </row>
    <row r="17" spans="1:10" ht="20" customHeight="1" x14ac:dyDescent="0.35">
      <c r="A17" s="18"/>
      <c r="B17" s="2">
        <v>45690</v>
      </c>
      <c r="C17" s="1" t="s">
        <v>8</v>
      </c>
      <c r="D17" s="1" t="s">
        <v>9</v>
      </c>
      <c r="E17" s="1" t="s">
        <v>43</v>
      </c>
      <c r="F17" s="1" t="s">
        <v>19</v>
      </c>
      <c r="G17" s="1">
        <v>3</v>
      </c>
      <c r="H17" s="1">
        <v>48000</v>
      </c>
      <c r="I17" s="3">
        <v>144000</v>
      </c>
      <c r="J17" s="18"/>
    </row>
    <row r="18" spans="1:10" ht="20" customHeight="1" x14ac:dyDescent="0.35">
      <c r="A18" s="18"/>
      <c r="B18" s="2">
        <v>45693</v>
      </c>
      <c r="C18" s="1" t="s">
        <v>12</v>
      </c>
      <c r="D18" s="1" t="s">
        <v>13</v>
      </c>
      <c r="E18" s="1" t="s">
        <v>44</v>
      </c>
      <c r="F18" s="1" t="s">
        <v>23</v>
      </c>
      <c r="G18" s="1">
        <v>6</v>
      </c>
      <c r="H18" s="1">
        <v>15000</v>
      </c>
      <c r="I18" s="3">
        <v>90000</v>
      </c>
      <c r="J18" s="18"/>
    </row>
    <row r="19" spans="1:10" ht="20" customHeight="1" x14ac:dyDescent="0.35">
      <c r="A19" s="18"/>
      <c r="B19" s="2">
        <v>45696</v>
      </c>
      <c r="C19" s="1" t="s">
        <v>16</v>
      </c>
      <c r="D19" s="1" t="s">
        <v>17</v>
      </c>
      <c r="E19" s="1" t="s">
        <v>45</v>
      </c>
      <c r="F19" s="1" t="s">
        <v>26</v>
      </c>
      <c r="G19" s="1">
        <v>2</v>
      </c>
      <c r="H19" s="1">
        <v>52000</v>
      </c>
      <c r="I19" s="3">
        <v>104000</v>
      </c>
      <c r="J19" s="18"/>
    </row>
    <row r="20" spans="1:10" ht="20" customHeight="1" x14ac:dyDescent="0.35">
      <c r="A20" s="18"/>
      <c r="B20" s="2">
        <v>45698</v>
      </c>
      <c r="C20" s="1" t="s">
        <v>20</v>
      </c>
      <c r="D20" s="1" t="s">
        <v>21</v>
      </c>
      <c r="E20" s="1" t="s">
        <v>46</v>
      </c>
      <c r="F20" s="1" t="s">
        <v>33</v>
      </c>
      <c r="G20" s="1">
        <v>9</v>
      </c>
      <c r="H20" s="1">
        <v>2800</v>
      </c>
      <c r="I20" s="3">
        <v>25200</v>
      </c>
      <c r="J20" s="18"/>
    </row>
    <row r="21" spans="1:10" ht="20" customHeight="1" x14ac:dyDescent="0.35">
      <c r="A21" s="18"/>
      <c r="B21" s="2">
        <v>45701</v>
      </c>
      <c r="C21" s="1" t="s">
        <v>24</v>
      </c>
      <c r="D21" s="1" t="s">
        <v>25</v>
      </c>
      <c r="E21" s="1" t="s">
        <v>14</v>
      </c>
      <c r="F21" s="1" t="s">
        <v>11</v>
      </c>
      <c r="G21" s="1">
        <v>5</v>
      </c>
      <c r="H21" s="1">
        <v>22000</v>
      </c>
      <c r="I21" s="3">
        <v>110000</v>
      </c>
      <c r="J21" s="18"/>
    </row>
    <row r="22" spans="1:10" ht="20" customHeight="1" x14ac:dyDescent="0.35">
      <c r="A22" s="18"/>
      <c r="B22" s="2">
        <v>45704</v>
      </c>
      <c r="C22" s="1" t="s">
        <v>27</v>
      </c>
      <c r="D22" s="1" t="s">
        <v>28</v>
      </c>
      <c r="E22" s="1" t="s">
        <v>47</v>
      </c>
      <c r="F22" s="1" t="s">
        <v>30</v>
      </c>
      <c r="G22" s="1">
        <v>1</v>
      </c>
      <c r="H22" s="1">
        <v>60000</v>
      </c>
      <c r="I22" s="3">
        <v>60000</v>
      </c>
      <c r="J22" s="18"/>
    </row>
    <row r="23" spans="1:10" ht="20" customHeight="1" x14ac:dyDescent="0.35">
      <c r="A23" s="18"/>
      <c r="B23" s="2">
        <v>45706</v>
      </c>
      <c r="C23" s="1" t="s">
        <v>31</v>
      </c>
      <c r="D23" s="1" t="s">
        <v>32</v>
      </c>
      <c r="E23" s="1" t="s">
        <v>48</v>
      </c>
      <c r="F23" s="1" t="s">
        <v>15</v>
      </c>
      <c r="G23" s="1">
        <v>1</v>
      </c>
      <c r="H23" s="1">
        <v>39000</v>
      </c>
      <c r="I23" s="3">
        <v>39000</v>
      </c>
      <c r="J23" s="18"/>
    </row>
    <row r="24" spans="1:10" ht="20" customHeight="1" x14ac:dyDescent="0.35">
      <c r="A24" s="18"/>
      <c r="B24" s="2">
        <v>45708</v>
      </c>
      <c r="C24" s="1" t="s">
        <v>34</v>
      </c>
      <c r="D24" s="1" t="s">
        <v>35</v>
      </c>
      <c r="E24" s="1" t="s">
        <v>29</v>
      </c>
      <c r="F24" s="1" t="s">
        <v>37</v>
      </c>
      <c r="G24" s="1">
        <v>3</v>
      </c>
      <c r="H24" s="1">
        <v>11000</v>
      </c>
      <c r="I24" s="3">
        <v>33000</v>
      </c>
      <c r="J24" s="18"/>
    </row>
    <row r="25" spans="1:10" ht="20" customHeight="1" x14ac:dyDescent="0.35">
      <c r="A25" s="18"/>
      <c r="B25" s="2">
        <v>45710</v>
      </c>
      <c r="C25" s="1" t="s">
        <v>38</v>
      </c>
      <c r="D25" s="1" t="s">
        <v>39</v>
      </c>
      <c r="E25" s="1" t="s">
        <v>10</v>
      </c>
      <c r="F25" s="1" t="s">
        <v>19</v>
      </c>
      <c r="G25" s="1">
        <v>7</v>
      </c>
      <c r="H25" s="1">
        <v>1200</v>
      </c>
      <c r="I25" s="3">
        <v>8400</v>
      </c>
      <c r="J25" s="18"/>
    </row>
    <row r="26" spans="1:10" ht="20" customHeight="1" x14ac:dyDescent="0.35">
      <c r="A26" s="18"/>
      <c r="B26" s="2">
        <v>45713</v>
      </c>
      <c r="C26" s="1" t="s">
        <v>41</v>
      </c>
      <c r="D26" s="1" t="s">
        <v>42</v>
      </c>
      <c r="E26" s="1" t="s">
        <v>43</v>
      </c>
      <c r="F26" s="1" t="s">
        <v>26</v>
      </c>
      <c r="G26" s="1">
        <v>10</v>
      </c>
      <c r="H26" s="1">
        <v>750</v>
      </c>
      <c r="I26" s="3">
        <v>7500</v>
      </c>
      <c r="J26" s="18"/>
    </row>
    <row r="27" spans="1:10" ht="20" customHeight="1" x14ac:dyDescent="0.35">
      <c r="A27" s="18"/>
      <c r="B27" s="2">
        <v>45718</v>
      </c>
      <c r="C27" s="1" t="s">
        <v>8</v>
      </c>
      <c r="D27" s="1" t="s">
        <v>9</v>
      </c>
      <c r="E27" s="1" t="s">
        <v>45</v>
      </c>
      <c r="F27" s="1" t="s">
        <v>11</v>
      </c>
      <c r="G27" s="1">
        <v>4</v>
      </c>
      <c r="H27" s="1">
        <v>55000</v>
      </c>
      <c r="I27" s="3">
        <v>220000</v>
      </c>
      <c r="J27" s="18"/>
    </row>
    <row r="28" spans="1:10" ht="20" customHeight="1" x14ac:dyDescent="0.35">
      <c r="A28" s="18"/>
      <c r="B28" s="2">
        <v>45720</v>
      </c>
      <c r="C28" s="1" t="s">
        <v>12</v>
      </c>
      <c r="D28" s="1" t="s">
        <v>13</v>
      </c>
      <c r="E28" s="1" t="s">
        <v>14</v>
      </c>
      <c r="F28" s="1" t="s">
        <v>15</v>
      </c>
      <c r="G28" s="1">
        <v>3</v>
      </c>
      <c r="H28" s="1">
        <v>17500</v>
      </c>
      <c r="I28" s="3">
        <v>52500</v>
      </c>
      <c r="J28" s="18"/>
    </row>
    <row r="29" spans="1:10" ht="20" customHeight="1" x14ac:dyDescent="0.35">
      <c r="A29" s="18"/>
      <c r="B29" s="2">
        <v>45723</v>
      </c>
      <c r="C29" s="1" t="s">
        <v>16</v>
      </c>
      <c r="D29" s="1" t="s">
        <v>17</v>
      </c>
      <c r="E29" s="1" t="s">
        <v>18</v>
      </c>
      <c r="F29" s="1" t="s">
        <v>19</v>
      </c>
      <c r="G29" s="1">
        <v>2</v>
      </c>
      <c r="H29" s="1">
        <v>68000</v>
      </c>
      <c r="I29" s="3">
        <v>136000</v>
      </c>
      <c r="J29" s="18"/>
    </row>
    <row r="30" spans="1:10" ht="20" customHeight="1" x14ac:dyDescent="0.35">
      <c r="A30" s="18"/>
      <c r="B30" s="2">
        <v>45725</v>
      </c>
      <c r="C30" s="1" t="s">
        <v>20</v>
      </c>
      <c r="D30" s="1" t="s">
        <v>21</v>
      </c>
      <c r="E30" s="1" t="s">
        <v>22</v>
      </c>
      <c r="F30" s="1" t="s">
        <v>23</v>
      </c>
      <c r="G30" s="1">
        <v>5</v>
      </c>
      <c r="H30" s="1">
        <v>3000</v>
      </c>
      <c r="I30" s="3">
        <v>15000</v>
      </c>
      <c r="J30" s="18"/>
    </row>
    <row r="31" spans="1:10" ht="20" customHeight="1" x14ac:dyDescent="0.35">
      <c r="A31" s="18"/>
      <c r="B31" s="2">
        <v>45727</v>
      </c>
      <c r="C31" s="1" t="s">
        <v>24</v>
      </c>
      <c r="D31" s="1" t="s">
        <v>25</v>
      </c>
      <c r="E31" s="1" t="s">
        <v>22</v>
      </c>
      <c r="F31" s="1" t="s">
        <v>26</v>
      </c>
      <c r="G31" s="1">
        <v>6</v>
      </c>
      <c r="H31" s="1">
        <v>3500</v>
      </c>
      <c r="I31" s="3">
        <v>21000</v>
      </c>
      <c r="J31" s="18"/>
    </row>
    <row r="32" spans="1:10" ht="20" customHeight="1" x14ac:dyDescent="0.35">
      <c r="A32" s="18"/>
      <c r="B32" s="2">
        <v>45729</v>
      </c>
      <c r="C32" s="1" t="s">
        <v>27</v>
      </c>
      <c r="D32" s="1" t="s">
        <v>28</v>
      </c>
      <c r="E32" s="1" t="s">
        <v>29</v>
      </c>
      <c r="F32" s="1" t="s">
        <v>30</v>
      </c>
      <c r="G32" s="1">
        <v>1</v>
      </c>
      <c r="H32" s="1">
        <v>50000</v>
      </c>
      <c r="I32" s="3">
        <v>50000</v>
      </c>
      <c r="J32" s="18"/>
    </row>
    <row r="33" spans="1:10" ht="20" customHeight="1" x14ac:dyDescent="0.35">
      <c r="A33" s="18"/>
      <c r="B33" s="2">
        <v>45732</v>
      </c>
      <c r="C33" s="1" t="s">
        <v>31</v>
      </c>
      <c r="D33" s="1" t="s">
        <v>32</v>
      </c>
      <c r="E33" s="1" t="s">
        <v>14</v>
      </c>
      <c r="F33" s="1" t="s">
        <v>33</v>
      </c>
      <c r="G33" s="1">
        <v>2</v>
      </c>
      <c r="H33" s="1">
        <v>42000</v>
      </c>
      <c r="I33" s="3">
        <v>84000</v>
      </c>
      <c r="J33" s="18"/>
    </row>
    <row r="34" spans="1:10" ht="20" customHeight="1" x14ac:dyDescent="0.35">
      <c r="A34" s="18"/>
      <c r="B34" s="2">
        <v>45734</v>
      </c>
      <c r="C34" s="1" t="s">
        <v>34</v>
      </c>
      <c r="D34" s="1" t="s">
        <v>35</v>
      </c>
      <c r="E34" s="1" t="s">
        <v>36</v>
      </c>
      <c r="F34" s="1" t="s">
        <v>37</v>
      </c>
      <c r="G34" s="1">
        <v>3</v>
      </c>
      <c r="H34" s="1">
        <v>12500</v>
      </c>
      <c r="I34" s="3">
        <v>37500</v>
      </c>
      <c r="J34" s="18"/>
    </row>
    <row r="35" spans="1:10" ht="20" customHeight="1" x14ac:dyDescent="0.35">
      <c r="A35" s="18"/>
      <c r="B35" s="2">
        <v>45737</v>
      </c>
      <c r="C35" s="1" t="s">
        <v>38</v>
      </c>
      <c r="D35" s="1" t="s">
        <v>39</v>
      </c>
      <c r="E35" s="1" t="s">
        <v>40</v>
      </c>
      <c r="F35" s="1" t="s">
        <v>11</v>
      </c>
      <c r="G35" s="1">
        <v>9</v>
      </c>
      <c r="H35" s="1">
        <v>1600</v>
      </c>
      <c r="I35" s="3">
        <v>14400</v>
      </c>
      <c r="J35" s="18"/>
    </row>
    <row r="36" spans="1:10" ht="20" customHeight="1" x14ac:dyDescent="0.35">
      <c r="A36" s="18"/>
      <c r="B36" s="2">
        <v>45739</v>
      </c>
      <c r="C36" s="1" t="s">
        <v>41</v>
      </c>
      <c r="D36" s="1" t="s">
        <v>42</v>
      </c>
      <c r="E36" s="1" t="s">
        <v>40</v>
      </c>
      <c r="F36" s="1" t="s">
        <v>15</v>
      </c>
      <c r="G36" s="1">
        <v>11</v>
      </c>
      <c r="H36" s="1">
        <v>850</v>
      </c>
      <c r="I36" s="3">
        <v>9350</v>
      </c>
      <c r="J36" s="18"/>
    </row>
    <row r="37" spans="1:10" ht="20" customHeight="1" x14ac:dyDescent="0.35">
      <c r="A37" s="18"/>
      <c r="B37" s="2">
        <v>45748</v>
      </c>
      <c r="C37" s="1" t="s">
        <v>8</v>
      </c>
      <c r="D37" s="1" t="s">
        <v>9</v>
      </c>
      <c r="E37" s="1" t="s">
        <v>10</v>
      </c>
      <c r="F37" s="1" t="s">
        <v>19</v>
      </c>
      <c r="G37" s="1">
        <v>3</v>
      </c>
      <c r="H37" s="1">
        <v>53000</v>
      </c>
      <c r="I37" s="3">
        <v>159000</v>
      </c>
      <c r="J37" s="18"/>
    </row>
    <row r="38" spans="1:10" ht="20" customHeight="1" x14ac:dyDescent="0.35">
      <c r="A38" s="18"/>
      <c r="B38" s="2">
        <v>45751</v>
      </c>
      <c r="C38" s="1" t="s">
        <v>12</v>
      </c>
      <c r="D38" s="1" t="s">
        <v>13</v>
      </c>
      <c r="E38" s="1" t="s">
        <v>14</v>
      </c>
      <c r="F38" s="1" t="s">
        <v>23</v>
      </c>
      <c r="G38" s="1">
        <v>7</v>
      </c>
      <c r="H38" s="1">
        <v>19000</v>
      </c>
      <c r="I38" s="3">
        <v>133000</v>
      </c>
      <c r="J38" s="18"/>
    </row>
    <row r="39" spans="1:10" ht="20" customHeight="1" x14ac:dyDescent="0.35">
      <c r="A39" s="18"/>
      <c r="B39" s="2">
        <v>45754</v>
      </c>
      <c r="C39" s="1" t="s">
        <v>16</v>
      </c>
      <c r="D39" s="1" t="s">
        <v>17</v>
      </c>
      <c r="E39" s="1" t="s">
        <v>18</v>
      </c>
      <c r="F39" s="1" t="s">
        <v>26</v>
      </c>
      <c r="G39" s="1">
        <v>1</v>
      </c>
      <c r="H39" s="1">
        <v>70000</v>
      </c>
      <c r="I39" s="3">
        <v>70000</v>
      </c>
      <c r="J39" s="18"/>
    </row>
    <row r="40" spans="1:10" ht="20" customHeight="1" x14ac:dyDescent="0.35">
      <c r="A40" s="18"/>
      <c r="B40" s="2">
        <v>45757</v>
      </c>
      <c r="C40" s="1" t="s">
        <v>20</v>
      </c>
      <c r="D40" s="1" t="s">
        <v>21</v>
      </c>
      <c r="E40" s="1" t="s">
        <v>22</v>
      </c>
      <c r="F40" s="1" t="s">
        <v>33</v>
      </c>
      <c r="G40" s="1">
        <v>8</v>
      </c>
      <c r="H40" s="1">
        <v>3200</v>
      </c>
      <c r="I40" s="3">
        <v>25600</v>
      </c>
      <c r="J40" s="18"/>
    </row>
    <row r="41" spans="1:10" ht="20" customHeight="1" x14ac:dyDescent="0.35">
      <c r="A41" s="18"/>
      <c r="B41" s="2">
        <v>45760</v>
      </c>
      <c r="C41" s="1" t="s">
        <v>24</v>
      </c>
      <c r="D41" s="1" t="s">
        <v>25</v>
      </c>
      <c r="E41" s="1" t="s">
        <v>22</v>
      </c>
      <c r="F41" s="1" t="s">
        <v>11</v>
      </c>
      <c r="G41" s="1">
        <v>5</v>
      </c>
      <c r="H41" s="1">
        <v>4000</v>
      </c>
      <c r="I41" s="3">
        <v>20000</v>
      </c>
      <c r="J41" s="18"/>
    </row>
    <row r="42" spans="1:10" ht="20" customHeight="1" x14ac:dyDescent="0.35">
      <c r="A42" s="18"/>
      <c r="B42" s="2">
        <v>45763</v>
      </c>
      <c r="C42" s="1" t="s">
        <v>27</v>
      </c>
      <c r="D42" s="1" t="s">
        <v>28</v>
      </c>
      <c r="E42" s="1" t="s">
        <v>29</v>
      </c>
      <c r="F42" s="1" t="s">
        <v>30</v>
      </c>
      <c r="G42" s="1">
        <v>2</v>
      </c>
      <c r="H42" s="1">
        <v>47000</v>
      </c>
      <c r="I42" s="3">
        <v>94000</v>
      </c>
      <c r="J42" s="18"/>
    </row>
    <row r="43" spans="1:10" ht="20" customHeight="1" x14ac:dyDescent="0.35">
      <c r="A43" s="18"/>
      <c r="B43" s="2">
        <v>45766</v>
      </c>
      <c r="C43" s="1" t="s">
        <v>31</v>
      </c>
      <c r="D43" s="1" t="s">
        <v>32</v>
      </c>
      <c r="E43" s="1" t="s">
        <v>14</v>
      </c>
      <c r="F43" s="1" t="s">
        <v>15</v>
      </c>
      <c r="G43" s="1">
        <v>1</v>
      </c>
      <c r="H43" s="1">
        <v>43000</v>
      </c>
      <c r="I43" s="3">
        <v>43000</v>
      </c>
      <c r="J43" s="18"/>
    </row>
    <row r="44" spans="1:10" ht="20" customHeight="1" x14ac:dyDescent="0.35">
      <c r="A44" s="18"/>
      <c r="B44" s="2">
        <v>45769</v>
      </c>
      <c r="C44" s="1" t="s">
        <v>34</v>
      </c>
      <c r="D44" s="1" t="s">
        <v>35</v>
      </c>
      <c r="E44" s="1" t="s">
        <v>36</v>
      </c>
      <c r="F44" s="1" t="s">
        <v>37</v>
      </c>
      <c r="G44" s="1">
        <v>4</v>
      </c>
      <c r="H44" s="1">
        <v>12800</v>
      </c>
      <c r="I44" s="3">
        <v>51200</v>
      </c>
      <c r="J44" s="18"/>
    </row>
    <row r="45" spans="1:10" ht="20" customHeight="1" x14ac:dyDescent="0.35">
      <c r="A45" s="18"/>
      <c r="B45" s="2">
        <v>45772</v>
      </c>
      <c r="C45" s="1" t="s">
        <v>38</v>
      </c>
      <c r="D45" s="1" t="s">
        <v>39</v>
      </c>
      <c r="E45" s="1" t="s">
        <v>40</v>
      </c>
      <c r="F45" s="1" t="s">
        <v>19</v>
      </c>
      <c r="G45" s="1">
        <v>6</v>
      </c>
      <c r="H45" s="1">
        <v>1800</v>
      </c>
      <c r="I45" s="3">
        <v>10800</v>
      </c>
      <c r="J45" s="18"/>
    </row>
    <row r="46" spans="1:10" ht="20" customHeight="1" x14ac:dyDescent="0.35">
      <c r="A46" s="18"/>
      <c r="B46" s="2">
        <v>45775</v>
      </c>
      <c r="C46" s="1" t="s">
        <v>41</v>
      </c>
      <c r="D46" s="1" t="s">
        <v>42</v>
      </c>
      <c r="E46" s="1" t="s">
        <v>40</v>
      </c>
      <c r="F46" s="1" t="s">
        <v>26</v>
      </c>
      <c r="G46" s="1">
        <v>12</v>
      </c>
      <c r="H46" s="1">
        <v>900</v>
      </c>
      <c r="I46" s="3">
        <v>10800</v>
      </c>
      <c r="J46" s="18"/>
    </row>
    <row r="47" spans="1:10" ht="20" customHeight="1" x14ac:dyDescent="0.35">
      <c r="A47" s="18"/>
      <c r="B47" s="2">
        <v>45779</v>
      </c>
      <c r="C47" s="1" t="s">
        <v>8</v>
      </c>
      <c r="D47" s="1" t="s">
        <v>9</v>
      </c>
      <c r="E47" s="1" t="s">
        <v>43</v>
      </c>
      <c r="F47" s="1" t="s">
        <v>11</v>
      </c>
      <c r="G47" s="1">
        <v>2</v>
      </c>
      <c r="H47" s="1">
        <v>49000</v>
      </c>
      <c r="I47" s="3">
        <v>98000</v>
      </c>
      <c r="J47" s="18"/>
    </row>
    <row r="48" spans="1:10" ht="20" customHeight="1" x14ac:dyDescent="0.35">
      <c r="A48" s="18"/>
      <c r="B48" s="2">
        <v>45782</v>
      </c>
      <c r="C48" s="1" t="s">
        <v>12</v>
      </c>
      <c r="D48" s="1" t="s">
        <v>13</v>
      </c>
      <c r="E48" s="1" t="s">
        <v>44</v>
      </c>
      <c r="F48" s="1" t="s">
        <v>15</v>
      </c>
      <c r="G48" s="1">
        <v>5</v>
      </c>
      <c r="H48" s="1">
        <v>15500</v>
      </c>
      <c r="I48" s="3">
        <v>77500</v>
      </c>
      <c r="J48" s="18"/>
    </row>
    <row r="49" spans="1:10" ht="20" customHeight="1" x14ac:dyDescent="0.35">
      <c r="A49" s="18"/>
      <c r="B49" s="2">
        <v>45785</v>
      </c>
      <c r="C49" s="1" t="s">
        <v>16</v>
      </c>
      <c r="D49" s="1" t="s">
        <v>17</v>
      </c>
      <c r="E49" s="1" t="s">
        <v>45</v>
      </c>
      <c r="F49" s="1" t="s">
        <v>30</v>
      </c>
      <c r="G49" s="1">
        <v>3</v>
      </c>
      <c r="H49" s="1">
        <v>54000</v>
      </c>
      <c r="I49" s="3">
        <v>162000</v>
      </c>
      <c r="J49" s="18"/>
    </row>
    <row r="50" spans="1:10" ht="20" customHeight="1" x14ac:dyDescent="0.35">
      <c r="A50" s="18"/>
      <c r="B50" s="2">
        <v>45788</v>
      </c>
      <c r="C50" s="1" t="s">
        <v>20</v>
      </c>
      <c r="D50" s="1" t="s">
        <v>21</v>
      </c>
      <c r="E50" s="1" t="s">
        <v>46</v>
      </c>
      <c r="F50" s="1" t="s">
        <v>33</v>
      </c>
      <c r="G50" s="1">
        <v>7</v>
      </c>
      <c r="H50" s="1">
        <v>3000</v>
      </c>
      <c r="I50" s="3">
        <v>21000</v>
      </c>
      <c r="J50" s="18"/>
    </row>
    <row r="51" spans="1:10" ht="20" customHeight="1" x14ac:dyDescent="0.35">
      <c r="A51" s="18"/>
      <c r="B51" s="2">
        <v>45791</v>
      </c>
      <c r="C51" s="1" t="s">
        <v>24</v>
      </c>
      <c r="D51" s="1" t="s">
        <v>25</v>
      </c>
      <c r="E51" s="1" t="s">
        <v>14</v>
      </c>
      <c r="F51" s="1" t="s">
        <v>19</v>
      </c>
      <c r="G51" s="1">
        <v>4</v>
      </c>
      <c r="H51" s="1">
        <v>21000</v>
      </c>
      <c r="I51" s="3">
        <v>84000</v>
      </c>
      <c r="J51" s="18"/>
    </row>
    <row r="52" spans="1:10" ht="20" customHeight="1" x14ac:dyDescent="0.35">
      <c r="A52" s="18"/>
      <c r="B52" s="2">
        <v>45794</v>
      </c>
      <c r="C52" s="1" t="s">
        <v>27</v>
      </c>
      <c r="D52" s="1" t="s">
        <v>28</v>
      </c>
      <c r="E52" s="1" t="s">
        <v>47</v>
      </c>
      <c r="F52" s="1" t="s">
        <v>26</v>
      </c>
      <c r="G52" s="1">
        <v>1</v>
      </c>
      <c r="H52" s="1">
        <v>62000</v>
      </c>
      <c r="I52" s="3">
        <v>62000</v>
      </c>
      <c r="J52" s="18"/>
    </row>
    <row r="53" spans="1:10" ht="20" customHeight="1" x14ac:dyDescent="0.35">
      <c r="A53" s="18"/>
      <c r="B53" s="2">
        <v>45797</v>
      </c>
      <c r="C53" s="1" t="s">
        <v>31</v>
      </c>
      <c r="D53" s="1" t="s">
        <v>32</v>
      </c>
      <c r="E53" s="1" t="s">
        <v>48</v>
      </c>
      <c r="F53" s="1" t="s">
        <v>23</v>
      </c>
      <c r="G53" s="1">
        <v>1</v>
      </c>
      <c r="H53" s="1">
        <v>39500</v>
      </c>
      <c r="I53" s="3">
        <v>39500</v>
      </c>
      <c r="J53" s="18"/>
    </row>
    <row r="54" spans="1:10" ht="20" customHeight="1" x14ac:dyDescent="0.35">
      <c r="A54" s="18"/>
      <c r="B54" s="2">
        <v>45800</v>
      </c>
      <c r="C54" s="1" t="s">
        <v>34</v>
      </c>
      <c r="D54" s="1" t="s">
        <v>35</v>
      </c>
      <c r="E54" s="1" t="s">
        <v>29</v>
      </c>
      <c r="F54" s="1" t="s">
        <v>11</v>
      </c>
      <c r="G54" s="1">
        <v>3</v>
      </c>
      <c r="H54" s="1">
        <v>11500</v>
      </c>
      <c r="I54" s="3">
        <v>34500</v>
      </c>
      <c r="J54" s="18"/>
    </row>
    <row r="55" spans="1:10" ht="20" customHeight="1" x14ac:dyDescent="0.35">
      <c r="A55" s="18"/>
      <c r="B55" s="2">
        <v>45803</v>
      </c>
      <c r="C55" s="1" t="s">
        <v>38</v>
      </c>
      <c r="D55" s="1" t="s">
        <v>39</v>
      </c>
      <c r="E55" s="1" t="s">
        <v>10</v>
      </c>
      <c r="F55" s="1" t="s">
        <v>37</v>
      </c>
      <c r="G55" s="1">
        <v>8</v>
      </c>
      <c r="H55" s="1">
        <v>1300</v>
      </c>
      <c r="I55" s="3">
        <v>10400</v>
      </c>
      <c r="J55" s="18"/>
    </row>
    <row r="56" spans="1:10" ht="20" customHeight="1" x14ac:dyDescent="0.35">
      <c r="A56" s="18"/>
      <c r="B56" s="2">
        <v>45806</v>
      </c>
      <c r="C56" s="1" t="s">
        <v>41</v>
      </c>
      <c r="D56" s="1" t="s">
        <v>42</v>
      </c>
      <c r="E56" s="1" t="s">
        <v>43</v>
      </c>
      <c r="F56" s="1" t="s">
        <v>19</v>
      </c>
      <c r="G56" s="1">
        <v>10</v>
      </c>
      <c r="H56" s="1">
        <v>750</v>
      </c>
      <c r="I56" s="3">
        <v>7500</v>
      </c>
      <c r="J56" s="18"/>
    </row>
    <row r="57" spans="1:10" ht="20" customHeight="1" x14ac:dyDescent="0.35">
      <c r="A57" s="18"/>
      <c r="B57" s="2">
        <v>45809</v>
      </c>
      <c r="C57" s="1" t="s">
        <v>8</v>
      </c>
      <c r="D57" s="1" t="s">
        <v>9</v>
      </c>
      <c r="E57" s="1" t="s">
        <v>45</v>
      </c>
      <c r="F57" s="1" t="s">
        <v>15</v>
      </c>
      <c r="G57" s="1">
        <v>4</v>
      </c>
      <c r="H57" s="1">
        <v>56000</v>
      </c>
      <c r="I57" s="3">
        <v>224000</v>
      </c>
      <c r="J57" s="18"/>
    </row>
    <row r="58" spans="1:10" ht="20" customHeight="1" x14ac:dyDescent="0.35">
      <c r="A58" s="18"/>
      <c r="B58" s="2">
        <v>45812</v>
      </c>
      <c r="C58" s="1" t="s">
        <v>12</v>
      </c>
      <c r="D58" s="1" t="s">
        <v>13</v>
      </c>
      <c r="E58" s="1" t="s">
        <v>14</v>
      </c>
      <c r="F58" s="1" t="s">
        <v>30</v>
      </c>
      <c r="G58" s="1">
        <v>6</v>
      </c>
      <c r="H58" s="1">
        <v>16500</v>
      </c>
      <c r="I58" s="3">
        <v>99000</v>
      </c>
      <c r="J58" s="18"/>
    </row>
    <row r="59" spans="1:10" ht="20" customHeight="1" x14ac:dyDescent="0.35">
      <c r="A59" s="18"/>
      <c r="B59" s="2">
        <v>45815</v>
      </c>
      <c r="C59" s="1" t="s">
        <v>16</v>
      </c>
      <c r="D59" s="1" t="s">
        <v>17</v>
      </c>
      <c r="E59" s="1" t="s">
        <v>18</v>
      </c>
      <c r="F59" s="1" t="s">
        <v>26</v>
      </c>
      <c r="G59" s="1">
        <v>2</v>
      </c>
      <c r="H59" s="1">
        <v>69000</v>
      </c>
      <c r="I59" s="3">
        <v>138000</v>
      </c>
      <c r="J59" s="18"/>
    </row>
    <row r="60" spans="1:10" ht="20" customHeight="1" x14ac:dyDescent="0.35">
      <c r="A60" s="18"/>
      <c r="B60" s="2">
        <v>45818</v>
      </c>
      <c r="C60" s="1" t="s">
        <v>20</v>
      </c>
      <c r="D60" s="1" t="s">
        <v>21</v>
      </c>
      <c r="E60" s="1" t="s">
        <v>22</v>
      </c>
      <c r="F60" s="1" t="s">
        <v>11</v>
      </c>
      <c r="G60" s="1">
        <v>5</v>
      </c>
      <c r="H60" s="1">
        <v>2800</v>
      </c>
      <c r="I60" s="3">
        <v>14000</v>
      </c>
      <c r="J60" s="18"/>
    </row>
    <row r="61" spans="1:10" ht="20" customHeight="1" x14ac:dyDescent="0.35">
      <c r="A61" s="18"/>
      <c r="B61" s="2">
        <v>45821</v>
      </c>
      <c r="C61" s="1" t="s">
        <v>24</v>
      </c>
      <c r="D61" s="1" t="s">
        <v>25</v>
      </c>
      <c r="E61" s="1" t="s">
        <v>22</v>
      </c>
      <c r="F61" s="1" t="s">
        <v>37</v>
      </c>
      <c r="G61" s="1">
        <v>7</v>
      </c>
      <c r="H61" s="1">
        <v>3300</v>
      </c>
      <c r="I61" s="3">
        <v>23100</v>
      </c>
      <c r="J61" s="18"/>
    </row>
    <row r="62" spans="1:10" ht="20" customHeight="1" x14ac:dyDescent="0.35">
      <c r="A62" s="18"/>
      <c r="B62" s="2">
        <v>45824</v>
      </c>
      <c r="C62" s="1" t="s">
        <v>27</v>
      </c>
      <c r="D62" s="1" t="s">
        <v>28</v>
      </c>
      <c r="E62" s="1" t="s">
        <v>29</v>
      </c>
      <c r="F62" s="1" t="s">
        <v>33</v>
      </c>
      <c r="G62" s="1">
        <v>1</v>
      </c>
      <c r="H62" s="1">
        <v>48000</v>
      </c>
      <c r="I62" s="3">
        <v>48000</v>
      </c>
      <c r="J62" s="18"/>
    </row>
    <row r="63" spans="1:10" ht="20" customHeight="1" x14ac:dyDescent="0.35">
      <c r="A63" s="18"/>
      <c r="B63" s="2">
        <v>45827</v>
      </c>
      <c r="C63" s="1" t="s">
        <v>31</v>
      </c>
      <c r="D63" s="1" t="s">
        <v>32</v>
      </c>
      <c r="E63" s="1" t="s">
        <v>14</v>
      </c>
      <c r="F63" s="1" t="s">
        <v>19</v>
      </c>
      <c r="G63" s="1">
        <v>2</v>
      </c>
      <c r="H63" s="1">
        <v>42500</v>
      </c>
      <c r="I63" s="3">
        <v>85000</v>
      </c>
      <c r="J63" s="18"/>
    </row>
    <row r="64" spans="1:10" ht="20" customHeight="1" x14ac:dyDescent="0.35">
      <c r="A64" s="18"/>
      <c r="B64" s="2">
        <v>45830</v>
      </c>
      <c r="C64" s="1" t="s">
        <v>34</v>
      </c>
      <c r="D64" s="1" t="s">
        <v>35</v>
      </c>
      <c r="E64" s="1" t="s">
        <v>36</v>
      </c>
      <c r="F64" s="1" t="s">
        <v>23</v>
      </c>
      <c r="G64" s="1">
        <v>3</v>
      </c>
      <c r="H64" s="1">
        <v>12300</v>
      </c>
      <c r="I64" s="3">
        <v>36900</v>
      </c>
      <c r="J64" s="18"/>
    </row>
    <row r="65" spans="1:10" ht="20" customHeight="1" x14ac:dyDescent="0.35">
      <c r="A65" s="18"/>
      <c r="B65" s="2">
        <v>45833</v>
      </c>
      <c r="C65" s="1" t="s">
        <v>38</v>
      </c>
      <c r="D65" s="1" t="s">
        <v>39</v>
      </c>
      <c r="E65" s="1" t="s">
        <v>40</v>
      </c>
      <c r="F65" s="1" t="s">
        <v>15</v>
      </c>
      <c r="G65" s="1">
        <v>9</v>
      </c>
      <c r="H65" s="1">
        <v>1500</v>
      </c>
      <c r="I65" s="3">
        <v>13500</v>
      </c>
      <c r="J65" s="18"/>
    </row>
    <row r="66" spans="1:10" ht="20" customHeight="1" x14ac:dyDescent="0.35">
      <c r="A66" s="18"/>
      <c r="B66" s="2">
        <v>45836</v>
      </c>
      <c r="C66" s="1" t="s">
        <v>41</v>
      </c>
      <c r="D66" s="1" t="s">
        <v>42</v>
      </c>
      <c r="E66" s="1" t="s">
        <v>40</v>
      </c>
      <c r="F66" s="1" t="s">
        <v>11</v>
      </c>
      <c r="G66" s="1">
        <v>11</v>
      </c>
      <c r="H66" s="1">
        <v>950</v>
      </c>
      <c r="I66" s="3">
        <v>10450</v>
      </c>
      <c r="J66" s="18"/>
    </row>
    <row r="67" spans="1:10" ht="20" customHeight="1" x14ac:dyDescent="0.35">
      <c r="A67" s="18"/>
      <c r="B67" s="2">
        <v>45839</v>
      </c>
      <c r="C67" s="1" t="s">
        <v>8</v>
      </c>
      <c r="D67" s="1" t="s">
        <v>9</v>
      </c>
      <c r="E67" s="1" t="s">
        <v>10</v>
      </c>
      <c r="F67" s="1" t="s">
        <v>19</v>
      </c>
      <c r="G67" s="1">
        <v>3</v>
      </c>
      <c r="H67" s="1">
        <v>51000</v>
      </c>
      <c r="I67" s="3">
        <v>153000</v>
      </c>
      <c r="J67" s="18"/>
    </row>
    <row r="68" spans="1:10" ht="20" customHeight="1" x14ac:dyDescent="0.35">
      <c r="A68" s="18"/>
      <c r="B68" s="2">
        <v>45842</v>
      </c>
      <c r="C68" s="1" t="s">
        <v>12</v>
      </c>
      <c r="D68" s="1" t="s">
        <v>13</v>
      </c>
      <c r="E68" s="1" t="s">
        <v>14</v>
      </c>
      <c r="F68" s="1" t="s">
        <v>23</v>
      </c>
      <c r="G68" s="1">
        <v>6</v>
      </c>
      <c r="H68" s="1">
        <v>18500</v>
      </c>
      <c r="I68" s="3">
        <v>111000</v>
      </c>
      <c r="J68" s="18"/>
    </row>
    <row r="69" spans="1:10" ht="20" customHeight="1" x14ac:dyDescent="0.35">
      <c r="A69" s="18"/>
      <c r="B69" s="2">
        <v>45845</v>
      </c>
      <c r="C69" s="1" t="s">
        <v>16</v>
      </c>
      <c r="D69" s="1" t="s">
        <v>17</v>
      </c>
      <c r="E69" s="1" t="s">
        <v>18</v>
      </c>
      <c r="F69" s="1" t="s">
        <v>26</v>
      </c>
      <c r="G69" s="1">
        <v>1</v>
      </c>
      <c r="H69" s="1">
        <v>72000</v>
      </c>
      <c r="I69" s="3">
        <v>72000</v>
      </c>
      <c r="J69" s="18"/>
    </row>
    <row r="70" spans="1:10" ht="20" customHeight="1" x14ac:dyDescent="0.35">
      <c r="A70" s="18"/>
      <c r="B70" s="2">
        <v>45848</v>
      </c>
      <c r="C70" s="1" t="s">
        <v>20</v>
      </c>
      <c r="D70" s="1" t="s">
        <v>21</v>
      </c>
      <c r="E70" s="1" t="s">
        <v>22</v>
      </c>
      <c r="F70" s="1" t="s">
        <v>33</v>
      </c>
      <c r="G70" s="1">
        <v>8</v>
      </c>
      <c r="H70" s="1">
        <v>3100</v>
      </c>
      <c r="I70" s="3">
        <v>24800</v>
      </c>
      <c r="J70" s="18"/>
    </row>
    <row r="71" spans="1:10" ht="20" customHeight="1" x14ac:dyDescent="0.35">
      <c r="A71" s="18"/>
      <c r="B71" s="2">
        <v>45851</v>
      </c>
      <c r="C71" s="1" t="s">
        <v>24</v>
      </c>
      <c r="D71" s="1" t="s">
        <v>25</v>
      </c>
      <c r="E71" s="1" t="s">
        <v>22</v>
      </c>
      <c r="F71" s="1" t="s">
        <v>11</v>
      </c>
      <c r="G71" s="1">
        <v>5</v>
      </c>
      <c r="H71" s="1">
        <v>3600</v>
      </c>
      <c r="I71" s="3">
        <v>18000</v>
      </c>
      <c r="J71" s="18"/>
    </row>
    <row r="72" spans="1:10" ht="20" customHeight="1" x14ac:dyDescent="0.35">
      <c r="A72" s="18"/>
      <c r="B72" s="2">
        <v>45854</v>
      </c>
      <c r="C72" s="1" t="s">
        <v>27</v>
      </c>
      <c r="D72" s="1" t="s">
        <v>28</v>
      </c>
      <c r="E72" s="1" t="s">
        <v>29</v>
      </c>
      <c r="F72" s="1" t="s">
        <v>30</v>
      </c>
      <c r="G72" s="1">
        <v>2</v>
      </c>
      <c r="H72" s="1">
        <v>49000</v>
      </c>
      <c r="I72" s="3">
        <v>98000</v>
      </c>
      <c r="J72" s="18"/>
    </row>
    <row r="73" spans="1:10" ht="20" customHeight="1" x14ac:dyDescent="0.35">
      <c r="A73" s="18"/>
      <c r="B73" s="2">
        <v>45857</v>
      </c>
      <c r="C73" s="1" t="s">
        <v>31</v>
      </c>
      <c r="D73" s="1" t="s">
        <v>32</v>
      </c>
      <c r="E73" s="1" t="s">
        <v>14</v>
      </c>
      <c r="F73" s="1" t="s">
        <v>15</v>
      </c>
      <c r="G73" s="1">
        <v>1</v>
      </c>
      <c r="H73" s="1">
        <v>44000</v>
      </c>
      <c r="I73" s="3">
        <v>44000</v>
      </c>
      <c r="J73" s="18"/>
    </row>
    <row r="74" spans="1:10" ht="20" customHeight="1" x14ac:dyDescent="0.35">
      <c r="A74" s="18"/>
      <c r="B74" s="2">
        <v>45860</v>
      </c>
      <c r="C74" s="1" t="s">
        <v>34</v>
      </c>
      <c r="D74" s="1" t="s">
        <v>35</v>
      </c>
      <c r="E74" s="1" t="s">
        <v>36</v>
      </c>
      <c r="F74" s="1" t="s">
        <v>37</v>
      </c>
      <c r="G74" s="1">
        <v>4</v>
      </c>
      <c r="H74" s="1">
        <v>12700</v>
      </c>
      <c r="I74" s="3">
        <v>50800</v>
      </c>
      <c r="J74" s="18"/>
    </row>
    <row r="75" spans="1:10" ht="20" customHeight="1" x14ac:dyDescent="0.35">
      <c r="A75" s="18"/>
      <c r="B75" s="2">
        <v>45863</v>
      </c>
      <c r="C75" s="1" t="s">
        <v>38</v>
      </c>
      <c r="D75" s="1" t="s">
        <v>39</v>
      </c>
      <c r="E75" s="1" t="s">
        <v>40</v>
      </c>
      <c r="F75" s="1" t="s">
        <v>19</v>
      </c>
      <c r="G75" s="1">
        <v>7</v>
      </c>
      <c r="H75" s="1">
        <v>1700</v>
      </c>
      <c r="I75" s="3">
        <v>11900</v>
      </c>
      <c r="J75" s="18"/>
    </row>
    <row r="76" spans="1:10" ht="20" customHeight="1" x14ac:dyDescent="0.35">
      <c r="A76" s="18"/>
      <c r="B76" s="2">
        <v>45866</v>
      </c>
      <c r="C76" s="1" t="s">
        <v>41</v>
      </c>
      <c r="D76" s="1" t="s">
        <v>42</v>
      </c>
      <c r="E76" s="1" t="s">
        <v>40</v>
      </c>
      <c r="F76" s="1" t="s">
        <v>26</v>
      </c>
      <c r="G76" s="1">
        <v>12</v>
      </c>
      <c r="H76" s="1">
        <v>850</v>
      </c>
      <c r="I76" s="3">
        <v>10200</v>
      </c>
      <c r="J76" s="18"/>
    </row>
    <row r="77" spans="1:10" ht="20" customHeight="1" x14ac:dyDescent="0.35">
      <c r="A77" s="18"/>
      <c r="B77" s="2">
        <v>45870</v>
      </c>
      <c r="C77" s="1" t="s">
        <v>8</v>
      </c>
      <c r="D77" s="1" t="s">
        <v>9</v>
      </c>
      <c r="E77" s="1" t="s">
        <v>43</v>
      </c>
      <c r="F77" s="1" t="s">
        <v>11</v>
      </c>
      <c r="G77" s="1">
        <v>2</v>
      </c>
      <c r="H77" s="1">
        <v>50000</v>
      </c>
      <c r="I77" s="3">
        <v>100000</v>
      </c>
      <c r="J77" s="18"/>
    </row>
    <row r="78" spans="1:10" ht="20" customHeight="1" x14ac:dyDescent="0.35">
      <c r="A78" s="18"/>
      <c r="B78" s="2">
        <v>45873</v>
      </c>
      <c r="C78" s="1" t="s">
        <v>12</v>
      </c>
      <c r="D78" s="1" t="s">
        <v>13</v>
      </c>
      <c r="E78" s="1" t="s">
        <v>44</v>
      </c>
      <c r="F78" s="1" t="s">
        <v>15</v>
      </c>
      <c r="G78" s="1">
        <v>5</v>
      </c>
      <c r="H78" s="1">
        <v>16000</v>
      </c>
      <c r="I78" s="3">
        <v>80000</v>
      </c>
      <c r="J78" s="18"/>
    </row>
    <row r="79" spans="1:10" ht="20" customHeight="1" x14ac:dyDescent="0.35">
      <c r="A79" s="18"/>
      <c r="B79" s="2">
        <v>45876</v>
      </c>
      <c r="C79" s="1" t="s">
        <v>16</v>
      </c>
      <c r="D79" s="1" t="s">
        <v>17</v>
      </c>
      <c r="E79" s="1" t="s">
        <v>45</v>
      </c>
      <c r="F79" s="1" t="s">
        <v>30</v>
      </c>
      <c r="G79" s="1">
        <v>3</v>
      </c>
      <c r="H79" s="1">
        <v>55000</v>
      </c>
      <c r="I79" s="3">
        <v>165000</v>
      </c>
      <c r="J79" s="18"/>
    </row>
    <row r="80" spans="1:10" ht="20" customHeight="1" x14ac:dyDescent="0.35">
      <c r="A80" s="18"/>
      <c r="B80" s="2">
        <v>45879</v>
      </c>
      <c r="C80" s="1" t="s">
        <v>20</v>
      </c>
      <c r="D80" s="1" t="s">
        <v>21</v>
      </c>
      <c r="E80" s="1" t="s">
        <v>46</v>
      </c>
      <c r="F80" s="1" t="s">
        <v>33</v>
      </c>
      <c r="G80" s="1">
        <v>7</v>
      </c>
      <c r="H80" s="1">
        <v>2900</v>
      </c>
      <c r="I80" s="3">
        <v>20300</v>
      </c>
      <c r="J80" s="18"/>
    </row>
    <row r="81" spans="1:10" ht="20" customHeight="1" x14ac:dyDescent="0.35">
      <c r="A81" s="18"/>
      <c r="B81" s="2">
        <v>45882</v>
      </c>
      <c r="C81" s="1" t="s">
        <v>24</v>
      </c>
      <c r="D81" s="1" t="s">
        <v>25</v>
      </c>
      <c r="E81" s="1" t="s">
        <v>14</v>
      </c>
      <c r="F81" s="1" t="s">
        <v>19</v>
      </c>
      <c r="G81" s="1">
        <v>4</v>
      </c>
      <c r="H81" s="1">
        <v>21500</v>
      </c>
      <c r="I81" s="3">
        <v>86000</v>
      </c>
      <c r="J81" s="18"/>
    </row>
    <row r="82" spans="1:10" ht="20" customHeight="1" x14ac:dyDescent="0.35">
      <c r="A82" s="18"/>
      <c r="B82" s="2">
        <v>45885</v>
      </c>
      <c r="C82" s="1" t="s">
        <v>27</v>
      </c>
      <c r="D82" s="1" t="s">
        <v>28</v>
      </c>
      <c r="E82" s="1" t="s">
        <v>47</v>
      </c>
      <c r="F82" s="1" t="s">
        <v>26</v>
      </c>
      <c r="G82" s="1">
        <v>1</v>
      </c>
      <c r="H82" s="1">
        <v>63000</v>
      </c>
      <c r="I82" s="3">
        <v>63000</v>
      </c>
      <c r="J82" s="18"/>
    </row>
    <row r="83" spans="1:10" ht="20" customHeight="1" x14ac:dyDescent="0.35">
      <c r="A83" s="18"/>
      <c r="B83" s="2">
        <v>45888</v>
      </c>
      <c r="C83" s="1" t="s">
        <v>31</v>
      </c>
      <c r="D83" s="1" t="s">
        <v>32</v>
      </c>
      <c r="E83" s="1" t="s">
        <v>48</v>
      </c>
      <c r="F83" s="1" t="s">
        <v>23</v>
      </c>
      <c r="G83" s="1">
        <v>1</v>
      </c>
      <c r="H83" s="1">
        <v>39800</v>
      </c>
      <c r="I83" s="3">
        <v>39800</v>
      </c>
      <c r="J83" s="18"/>
    </row>
    <row r="84" spans="1:10" ht="20" customHeight="1" x14ac:dyDescent="0.35">
      <c r="A84" s="18"/>
      <c r="B84" s="2">
        <v>45891</v>
      </c>
      <c r="C84" s="1" t="s">
        <v>34</v>
      </c>
      <c r="D84" s="1" t="s">
        <v>35</v>
      </c>
      <c r="E84" s="1" t="s">
        <v>29</v>
      </c>
      <c r="F84" s="1" t="s">
        <v>11</v>
      </c>
      <c r="G84" s="1">
        <v>3</v>
      </c>
      <c r="H84" s="1">
        <v>11800</v>
      </c>
      <c r="I84" s="3">
        <v>35400</v>
      </c>
      <c r="J84" s="18"/>
    </row>
    <row r="85" spans="1:10" ht="20" customHeight="1" x14ac:dyDescent="0.35">
      <c r="A85" s="18"/>
      <c r="B85" s="2">
        <v>45894</v>
      </c>
      <c r="C85" s="1" t="s">
        <v>38</v>
      </c>
      <c r="D85" s="1" t="s">
        <v>39</v>
      </c>
      <c r="E85" s="1" t="s">
        <v>10</v>
      </c>
      <c r="F85" s="1" t="s">
        <v>37</v>
      </c>
      <c r="G85" s="1">
        <v>8</v>
      </c>
      <c r="H85" s="1">
        <v>1300</v>
      </c>
      <c r="I85" s="3">
        <v>10400</v>
      </c>
      <c r="J85" s="18"/>
    </row>
    <row r="86" spans="1:10" ht="20" customHeight="1" x14ac:dyDescent="0.35">
      <c r="A86" s="18"/>
      <c r="B86" s="2">
        <v>45897</v>
      </c>
      <c r="C86" s="1" t="s">
        <v>41</v>
      </c>
      <c r="D86" s="1" t="s">
        <v>42</v>
      </c>
      <c r="E86" s="1" t="s">
        <v>43</v>
      </c>
      <c r="F86" s="1" t="s">
        <v>19</v>
      </c>
      <c r="G86" s="1">
        <v>10</v>
      </c>
      <c r="H86" s="1">
        <v>780</v>
      </c>
      <c r="I86" s="3">
        <v>7800</v>
      </c>
      <c r="J86" s="18"/>
    </row>
    <row r="87" spans="1:10" ht="20" customHeight="1" x14ac:dyDescent="0.35">
      <c r="A87" s="18"/>
      <c r="B87" s="2">
        <v>45901</v>
      </c>
      <c r="C87" s="1" t="s">
        <v>8</v>
      </c>
      <c r="D87" s="1" t="s">
        <v>9</v>
      </c>
      <c r="E87" s="1" t="s">
        <v>45</v>
      </c>
      <c r="F87" s="1" t="s">
        <v>15</v>
      </c>
      <c r="G87" s="1">
        <v>4</v>
      </c>
      <c r="H87" s="1">
        <v>56500</v>
      </c>
      <c r="I87" s="3">
        <v>226000</v>
      </c>
      <c r="J87" s="18"/>
    </row>
    <row r="88" spans="1:10" ht="20" customHeight="1" x14ac:dyDescent="0.35">
      <c r="A88" s="18"/>
      <c r="B88" s="2">
        <v>45904</v>
      </c>
      <c r="C88" s="1" t="s">
        <v>12</v>
      </c>
      <c r="D88" s="1" t="s">
        <v>13</v>
      </c>
      <c r="E88" s="1" t="s">
        <v>14</v>
      </c>
      <c r="F88" s="1" t="s">
        <v>30</v>
      </c>
      <c r="G88" s="1">
        <v>6</v>
      </c>
      <c r="H88" s="1">
        <v>16900</v>
      </c>
      <c r="I88" s="3">
        <v>101400</v>
      </c>
      <c r="J88" s="18"/>
    </row>
    <row r="89" spans="1:10" ht="20" customHeight="1" x14ac:dyDescent="0.35">
      <c r="A89" s="18"/>
      <c r="B89" s="2">
        <v>45907</v>
      </c>
      <c r="C89" s="1" t="s">
        <v>16</v>
      </c>
      <c r="D89" s="1" t="s">
        <v>17</v>
      </c>
      <c r="E89" s="1" t="s">
        <v>18</v>
      </c>
      <c r="F89" s="1" t="s">
        <v>26</v>
      </c>
      <c r="G89" s="1">
        <v>2</v>
      </c>
      <c r="H89" s="1">
        <v>70500</v>
      </c>
      <c r="I89" s="3">
        <v>141000</v>
      </c>
      <c r="J89" s="18"/>
    </row>
    <row r="90" spans="1:10" ht="20" customHeight="1" x14ac:dyDescent="0.35">
      <c r="A90" s="18"/>
      <c r="B90" s="2">
        <v>45910</v>
      </c>
      <c r="C90" s="1" t="s">
        <v>20</v>
      </c>
      <c r="D90" s="1" t="s">
        <v>21</v>
      </c>
      <c r="E90" s="1" t="s">
        <v>22</v>
      </c>
      <c r="F90" s="1" t="s">
        <v>11</v>
      </c>
      <c r="G90" s="1">
        <v>5</v>
      </c>
      <c r="H90" s="1">
        <v>2750</v>
      </c>
      <c r="I90" s="3">
        <v>13750</v>
      </c>
      <c r="J90" s="18"/>
    </row>
    <row r="91" spans="1:10" ht="20" customHeight="1" x14ac:dyDescent="0.35">
      <c r="A91" s="18"/>
      <c r="B91" s="2">
        <v>45913</v>
      </c>
      <c r="C91" s="1" t="s">
        <v>24</v>
      </c>
      <c r="D91" s="1" t="s">
        <v>25</v>
      </c>
      <c r="E91" s="1" t="s">
        <v>22</v>
      </c>
      <c r="F91" s="1" t="s">
        <v>37</v>
      </c>
      <c r="G91" s="1">
        <v>7</v>
      </c>
      <c r="H91" s="1">
        <v>3400</v>
      </c>
      <c r="I91" s="3">
        <v>23800</v>
      </c>
      <c r="J91" s="18"/>
    </row>
    <row r="92" spans="1:10" ht="20" customHeight="1" x14ac:dyDescent="0.35">
      <c r="A92" s="18"/>
      <c r="B92" s="2">
        <v>45916</v>
      </c>
      <c r="C92" s="1" t="s">
        <v>27</v>
      </c>
      <c r="D92" s="1" t="s">
        <v>28</v>
      </c>
      <c r="E92" s="1" t="s">
        <v>29</v>
      </c>
      <c r="F92" s="1" t="s">
        <v>33</v>
      </c>
      <c r="G92" s="1">
        <v>1</v>
      </c>
      <c r="H92" s="1">
        <v>49000</v>
      </c>
      <c r="I92" s="3">
        <v>49000</v>
      </c>
      <c r="J92" s="18"/>
    </row>
    <row r="93" spans="1:10" ht="20" customHeight="1" x14ac:dyDescent="0.35">
      <c r="A93" s="18"/>
      <c r="B93" s="2">
        <v>45919</v>
      </c>
      <c r="C93" s="1" t="s">
        <v>31</v>
      </c>
      <c r="D93" s="1" t="s">
        <v>32</v>
      </c>
      <c r="E93" s="1" t="s">
        <v>14</v>
      </c>
      <c r="F93" s="1" t="s">
        <v>19</v>
      </c>
      <c r="G93" s="1">
        <v>2</v>
      </c>
      <c r="H93" s="1">
        <v>42800</v>
      </c>
      <c r="I93" s="3">
        <v>85600</v>
      </c>
      <c r="J93" s="18"/>
    </row>
    <row r="94" spans="1:10" ht="20" customHeight="1" x14ac:dyDescent="0.35">
      <c r="A94" s="18"/>
      <c r="B94" s="2">
        <v>45922</v>
      </c>
      <c r="C94" s="1" t="s">
        <v>34</v>
      </c>
      <c r="D94" s="1" t="s">
        <v>35</v>
      </c>
      <c r="E94" s="1" t="s">
        <v>36</v>
      </c>
      <c r="F94" s="1" t="s">
        <v>23</v>
      </c>
      <c r="G94" s="1">
        <v>3</v>
      </c>
      <c r="H94" s="1">
        <v>12400</v>
      </c>
      <c r="I94" s="3">
        <v>37200</v>
      </c>
      <c r="J94" s="18"/>
    </row>
    <row r="95" spans="1:10" ht="20" customHeight="1" x14ac:dyDescent="0.35">
      <c r="A95" s="18"/>
      <c r="B95" s="2">
        <v>45925</v>
      </c>
      <c r="C95" s="1" t="s">
        <v>38</v>
      </c>
      <c r="D95" s="1" t="s">
        <v>39</v>
      </c>
      <c r="E95" s="1" t="s">
        <v>40</v>
      </c>
      <c r="F95" s="1" t="s">
        <v>15</v>
      </c>
      <c r="G95" s="1">
        <v>9</v>
      </c>
      <c r="H95" s="1">
        <v>1550</v>
      </c>
      <c r="I95" s="3">
        <v>13950</v>
      </c>
      <c r="J95" s="18"/>
    </row>
    <row r="96" spans="1:10" ht="20" customHeight="1" x14ac:dyDescent="0.35">
      <c r="A96" s="18"/>
      <c r="B96" s="2">
        <v>45928</v>
      </c>
      <c r="C96" s="1" t="s">
        <v>41</v>
      </c>
      <c r="D96" s="1" t="s">
        <v>42</v>
      </c>
      <c r="E96" s="1" t="s">
        <v>40</v>
      </c>
      <c r="F96" s="1" t="s">
        <v>11</v>
      </c>
      <c r="G96" s="1">
        <v>11</v>
      </c>
      <c r="H96" s="1">
        <v>960</v>
      </c>
      <c r="I96" s="3">
        <v>10560</v>
      </c>
      <c r="J96" s="18"/>
    </row>
    <row r="97" spans="1:10" ht="20" customHeight="1" x14ac:dyDescent="0.35">
      <c r="A97" s="18"/>
      <c r="B97" s="2">
        <v>45931</v>
      </c>
      <c r="C97" s="1" t="s">
        <v>8</v>
      </c>
      <c r="D97" s="1" t="s">
        <v>9</v>
      </c>
      <c r="E97" s="1" t="s">
        <v>10</v>
      </c>
      <c r="F97" s="1" t="s">
        <v>19</v>
      </c>
      <c r="G97" s="1">
        <v>3</v>
      </c>
      <c r="H97" s="1">
        <v>52500</v>
      </c>
      <c r="I97" s="3">
        <v>157500</v>
      </c>
      <c r="J97" s="18"/>
    </row>
    <row r="98" spans="1:10" ht="20" customHeight="1" x14ac:dyDescent="0.35">
      <c r="A98" s="18"/>
      <c r="B98" s="2">
        <v>45934</v>
      </c>
      <c r="C98" s="1" t="s">
        <v>12</v>
      </c>
      <c r="D98" s="1" t="s">
        <v>13</v>
      </c>
      <c r="E98" s="1" t="s">
        <v>14</v>
      </c>
      <c r="F98" s="1" t="s">
        <v>23</v>
      </c>
      <c r="G98" s="1">
        <v>6</v>
      </c>
      <c r="H98" s="1">
        <v>18800</v>
      </c>
      <c r="I98" s="3">
        <v>112800</v>
      </c>
      <c r="J98" s="18"/>
    </row>
    <row r="99" spans="1:10" ht="20" customHeight="1" x14ac:dyDescent="0.35">
      <c r="A99" s="18"/>
      <c r="B99" s="2">
        <v>45937</v>
      </c>
      <c r="C99" s="1" t="s">
        <v>16</v>
      </c>
      <c r="D99" s="1" t="s">
        <v>17</v>
      </c>
      <c r="E99" s="1" t="s">
        <v>18</v>
      </c>
      <c r="F99" s="1" t="s">
        <v>26</v>
      </c>
      <c r="G99" s="1">
        <v>1</v>
      </c>
      <c r="H99" s="1">
        <v>73000</v>
      </c>
      <c r="I99" s="3">
        <v>73000</v>
      </c>
      <c r="J99" s="18"/>
    </row>
    <row r="100" spans="1:10" ht="20" customHeight="1" x14ac:dyDescent="0.35">
      <c r="A100" s="18"/>
      <c r="B100" s="2">
        <v>45940</v>
      </c>
      <c r="C100" s="1" t="s">
        <v>20</v>
      </c>
      <c r="D100" s="1" t="s">
        <v>21</v>
      </c>
      <c r="E100" s="1" t="s">
        <v>22</v>
      </c>
      <c r="F100" s="1" t="s">
        <v>33</v>
      </c>
      <c r="G100" s="1">
        <v>8</v>
      </c>
      <c r="H100" s="1">
        <v>3150</v>
      </c>
      <c r="I100" s="3">
        <v>25200</v>
      </c>
      <c r="J100" s="18"/>
    </row>
    <row r="101" spans="1:10" ht="20" customHeight="1" x14ac:dyDescent="0.35">
      <c r="A101" s="18"/>
      <c r="B101" s="2">
        <v>45943</v>
      </c>
      <c r="C101" s="1" t="s">
        <v>24</v>
      </c>
      <c r="D101" s="1" t="s">
        <v>25</v>
      </c>
      <c r="E101" s="1" t="s">
        <v>22</v>
      </c>
      <c r="F101" s="1" t="s">
        <v>11</v>
      </c>
      <c r="G101" s="1">
        <v>5</v>
      </c>
      <c r="H101" s="1">
        <v>3700</v>
      </c>
      <c r="I101" s="3">
        <v>18500</v>
      </c>
      <c r="J101" s="18"/>
    </row>
    <row r="102" spans="1:10" ht="20" customHeight="1" x14ac:dyDescent="0.35">
      <c r="A102" s="18"/>
      <c r="B102" s="2">
        <v>45946</v>
      </c>
      <c r="C102" s="1" t="s">
        <v>27</v>
      </c>
      <c r="D102" s="1" t="s">
        <v>28</v>
      </c>
      <c r="E102" s="1" t="s">
        <v>29</v>
      </c>
      <c r="F102" s="1" t="s">
        <v>30</v>
      </c>
      <c r="G102" s="1">
        <v>2</v>
      </c>
      <c r="H102" s="1">
        <v>49500</v>
      </c>
      <c r="I102" s="3">
        <v>99000</v>
      </c>
      <c r="J102" s="18"/>
    </row>
    <row r="103" spans="1:10" ht="20" customHeight="1" x14ac:dyDescent="0.35">
      <c r="A103" s="18"/>
      <c r="B103" s="2">
        <v>45949</v>
      </c>
      <c r="C103" s="1" t="s">
        <v>31</v>
      </c>
      <c r="D103" s="1" t="s">
        <v>32</v>
      </c>
      <c r="E103" s="1" t="s">
        <v>14</v>
      </c>
      <c r="F103" s="1" t="s">
        <v>15</v>
      </c>
      <c r="G103" s="1">
        <v>1</v>
      </c>
      <c r="H103" s="1">
        <v>44500</v>
      </c>
      <c r="I103" s="3">
        <v>44500</v>
      </c>
      <c r="J103" s="18"/>
    </row>
    <row r="104" spans="1:10" ht="20" customHeight="1" x14ac:dyDescent="0.35">
      <c r="A104" s="18"/>
      <c r="B104" s="2">
        <v>45952</v>
      </c>
      <c r="C104" s="1" t="s">
        <v>34</v>
      </c>
      <c r="D104" s="1" t="s">
        <v>35</v>
      </c>
      <c r="E104" s="1" t="s">
        <v>36</v>
      </c>
      <c r="F104" s="1" t="s">
        <v>37</v>
      </c>
      <c r="G104" s="1">
        <v>4</v>
      </c>
      <c r="H104" s="1">
        <v>12900</v>
      </c>
      <c r="I104" s="3">
        <v>51600</v>
      </c>
      <c r="J104" s="18"/>
    </row>
    <row r="105" spans="1:10" ht="20" customHeight="1" x14ac:dyDescent="0.35">
      <c r="A105" s="18"/>
      <c r="B105" s="2">
        <v>45955</v>
      </c>
      <c r="C105" s="1" t="s">
        <v>38</v>
      </c>
      <c r="D105" s="1" t="s">
        <v>39</v>
      </c>
      <c r="E105" s="1" t="s">
        <v>40</v>
      </c>
      <c r="F105" s="1" t="s">
        <v>19</v>
      </c>
      <c r="G105" s="1">
        <v>7</v>
      </c>
      <c r="H105" s="1">
        <v>1750</v>
      </c>
      <c r="I105" s="3">
        <v>12250</v>
      </c>
      <c r="J105" s="18"/>
    </row>
    <row r="106" spans="1:10" ht="20" customHeight="1" x14ac:dyDescent="0.35">
      <c r="A106" s="18"/>
      <c r="B106" s="2">
        <v>45958</v>
      </c>
      <c r="C106" s="1" t="s">
        <v>41</v>
      </c>
      <c r="D106" s="1" t="s">
        <v>42</v>
      </c>
      <c r="E106" s="1" t="s">
        <v>40</v>
      </c>
      <c r="F106" s="1" t="s">
        <v>26</v>
      </c>
      <c r="G106" s="1">
        <v>12</v>
      </c>
      <c r="H106" s="1">
        <v>870</v>
      </c>
      <c r="I106" s="3">
        <v>10440</v>
      </c>
      <c r="J106" s="18"/>
    </row>
    <row r="107" spans="1:10" ht="20" customHeight="1" x14ac:dyDescent="0.35">
      <c r="A107" s="18"/>
      <c r="B107" s="2">
        <v>45962</v>
      </c>
      <c r="C107" s="1" t="s">
        <v>8</v>
      </c>
      <c r="D107" s="1" t="s">
        <v>9</v>
      </c>
      <c r="E107" s="1" t="s">
        <v>43</v>
      </c>
      <c r="F107" s="1" t="s">
        <v>11</v>
      </c>
      <c r="G107" s="1">
        <v>2</v>
      </c>
      <c r="H107" s="1">
        <v>50500</v>
      </c>
      <c r="I107" s="3">
        <v>101000</v>
      </c>
      <c r="J107" s="18"/>
    </row>
    <row r="108" spans="1:10" ht="20" customHeight="1" x14ac:dyDescent="0.35">
      <c r="A108" s="18"/>
      <c r="B108" s="2">
        <v>45965</v>
      </c>
      <c r="C108" s="1" t="s">
        <v>12</v>
      </c>
      <c r="D108" s="1" t="s">
        <v>13</v>
      </c>
      <c r="E108" s="1" t="s">
        <v>44</v>
      </c>
      <c r="F108" s="1" t="s">
        <v>15</v>
      </c>
      <c r="G108" s="1">
        <v>5</v>
      </c>
      <c r="H108" s="1">
        <v>16200</v>
      </c>
      <c r="I108" s="3">
        <v>81000</v>
      </c>
      <c r="J108" s="18"/>
    </row>
    <row r="109" spans="1:10" ht="20" customHeight="1" x14ac:dyDescent="0.35">
      <c r="A109" s="18"/>
      <c r="B109" s="2">
        <v>45968</v>
      </c>
      <c r="C109" s="1" t="s">
        <v>16</v>
      </c>
      <c r="D109" s="1" t="s">
        <v>17</v>
      </c>
      <c r="E109" s="1" t="s">
        <v>45</v>
      </c>
      <c r="F109" s="1" t="s">
        <v>30</v>
      </c>
      <c r="G109" s="1">
        <v>3</v>
      </c>
      <c r="H109" s="1">
        <v>54500</v>
      </c>
      <c r="I109" s="3">
        <v>163500</v>
      </c>
      <c r="J109" s="18"/>
    </row>
    <row r="110" spans="1:10" ht="20" customHeight="1" x14ac:dyDescent="0.35">
      <c r="A110" s="18"/>
      <c r="B110" s="2">
        <v>45971</v>
      </c>
      <c r="C110" s="1" t="s">
        <v>20</v>
      </c>
      <c r="D110" s="1" t="s">
        <v>21</v>
      </c>
      <c r="E110" s="1" t="s">
        <v>46</v>
      </c>
      <c r="F110" s="1" t="s">
        <v>33</v>
      </c>
      <c r="G110" s="1">
        <v>7</v>
      </c>
      <c r="H110" s="1">
        <v>2950</v>
      </c>
      <c r="I110" s="3">
        <v>20650</v>
      </c>
      <c r="J110" s="18"/>
    </row>
    <row r="111" spans="1:10" ht="20" customHeight="1" x14ac:dyDescent="0.35">
      <c r="A111" s="18"/>
      <c r="B111" s="2">
        <v>45974</v>
      </c>
      <c r="C111" s="1" t="s">
        <v>24</v>
      </c>
      <c r="D111" s="1" t="s">
        <v>25</v>
      </c>
      <c r="E111" s="1" t="s">
        <v>14</v>
      </c>
      <c r="F111" s="1" t="s">
        <v>19</v>
      </c>
      <c r="G111" s="1">
        <v>4</v>
      </c>
      <c r="H111" s="1">
        <v>22000</v>
      </c>
      <c r="I111" s="3">
        <v>88000</v>
      </c>
      <c r="J111" s="18"/>
    </row>
    <row r="112" spans="1:10" ht="20" customHeight="1" x14ac:dyDescent="0.35">
      <c r="A112" s="18"/>
      <c r="B112" s="2">
        <v>45977</v>
      </c>
      <c r="C112" s="1" t="s">
        <v>27</v>
      </c>
      <c r="D112" s="1" t="s">
        <v>28</v>
      </c>
      <c r="E112" s="1" t="s">
        <v>47</v>
      </c>
      <c r="F112" s="1" t="s">
        <v>26</v>
      </c>
      <c r="G112" s="1">
        <v>1</v>
      </c>
      <c r="H112" s="1">
        <v>62500</v>
      </c>
      <c r="I112" s="3">
        <v>62500</v>
      </c>
      <c r="J112" s="18"/>
    </row>
    <row r="113" spans="1:10" ht="20" customHeight="1" x14ac:dyDescent="0.35">
      <c r="A113" s="18"/>
      <c r="B113" s="2">
        <v>45980</v>
      </c>
      <c r="C113" s="1" t="s">
        <v>31</v>
      </c>
      <c r="D113" s="1" t="s">
        <v>32</v>
      </c>
      <c r="E113" s="1" t="s">
        <v>48</v>
      </c>
      <c r="F113" s="1" t="s">
        <v>23</v>
      </c>
      <c r="G113" s="1">
        <v>1</v>
      </c>
      <c r="H113" s="1">
        <v>40000</v>
      </c>
      <c r="I113" s="3">
        <v>40000</v>
      </c>
      <c r="J113" s="18"/>
    </row>
    <row r="114" spans="1:10" ht="20" customHeight="1" x14ac:dyDescent="0.35">
      <c r="A114" s="18"/>
      <c r="B114" s="2">
        <v>45983</v>
      </c>
      <c r="C114" s="1" t="s">
        <v>34</v>
      </c>
      <c r="D114" s="1" t="s">
        <v>35</v>
      </c>
      <c r="E114" s="1" t="s">
        <v>29</v>
      </c>
      <c r="F114" s="1" t="s">
        <v>11</v>
      </c>
      <c r="G114" s="1">
        <v>3</v>
      </c>
      <c r="H114" s="1">
        <v>11700</v>
      </c>
      <c r="I114" s="3">
        <v>35100</v>
      </c>
      <c r="J114" s="18"/>
    </row>
    <row r="115" spans="1:10" ht="20" customHeight="1" x14ac:dyDescent="0.35">
      <c r="A115" s="18"/>
      <c r="B115" s="2">
        <v>45986</v>
      </c>
      <c r="C115" s="1" t="s">
        <v>38</v>
      </c>
      <c r="D115" s="1" t="s">
        <v>39</v>
      </c>
      <c r="E115" s="1" t="s">
        <v>10</v>
      </c>
      <c r="F115" s="1" t="s">
        <v>37</v>
      </c>
      <c r="G115" s="1">
        <v>8</v>
      </c>
      <c r="H115" s="1">
        <v>1350</v>
      </c>
      <c r="I115" s="3">
        <v>10800</v>
      </c>
      <c r="J115" s="18"/>
    </row>
    <row r="116" spans="1:10" ht="20" customHeight="1" x14ac:dyDescent="0.35">
      <c r="A116" s="18"/>
      <c r="B116" s="2">
        <v>45989</v>
      </c>
      <c r="C116" s="1" t="s">
        <v>41</v>
      </c>
      <c r="D116" s="1" t="s">
        <v>42</v>
      </c>
      <c r="E116" s="1" t="s">
        <v>43</v>
      </c>
      <c r="F116" s="1" t="s">
        <v>19</v>
      </c>
      <c r="G116" s="1">
        <v>10</v>
      </c>
      <c r="H116" s="1">
        <v>760</v>
      </c>
      <c r="I116" s="3">
        <v>7600</v>
      </c>
      <c r="J116" s="18"/>
    </row>
    <row r="117" spans="1:10" ht="20" customHeight="1" x14ac:dyDescent="0.35">
      <c r="A117" s="18"/>
      <c r="B117" s="2">
        <v>45992</v>
      </c>
      <c r="C117" s="1" t="s">
        <v>8</v>
      </c>
      <c r="D117" s="1" t="s">
        <v>9</v>
      </c>
      <c r="E117" s="1" t="s">
        <v>45</v>
      </c>
      <c r="F117" s="1" t="s">
        <v>15</v>
      </c>
      <c r="G117" s="1">
        <v>4</v>
      </c>
      <c r="H117" s="1">
        <v>57500</v>
      </c>
      <c r="I117" s="3">
        <v>230000</v>
      </c>
      <c r="J117" s="18"/>
    </row>
    <row r="118" spans="1:10" ht="20" customHeight="1" x14ac:dyDescent="0.35">
      <c r="A118" s="18"/>
      <c r="B118" s="2">
        <v>45994</v>
      </c>
      <c r="C118" s="1" t="s">
        <v>12</v>
      </c>
      <c r="D118" s="1" t="s">
        <v>13</v>
      </c>
      <c r="E118" s="1" t="s">
        <v>14</v>
      </c>
      <c r="F118" s="1" t="s">
        <v>30</v>
      </c>
      <c r="G118" s="1">
        <v>6</v>
      </c>
      <c r="H118" s="1">
        <v>17000</v>
      </c>
      <c r="I118" s="3">
        <v>102000</v>
      </c>
      <c r="J118" s="18"/>
    </row>
    <row r="119" spans="1:10" ht="20" customHeight="1" x14ac:dyDescent="0.35">
      <c r="A119" s="18"/>
      <c r="B119" s="2">
        <v>45997</v>
      </c>
      <c r="C119" s="1" t="s">
        <v>16</v>
      </c>
      <c r="D119" s="1" t="s">
        <v>17</v>
      </c>
      <c r="E119" s="1" t="s">
        <v>18</v>
      </c>
      <c r="F119" s="1" t="s">
        <v>26</v>
      </c>
      <c r="G119" s="1">
        <v>2</v>
      </c>
      <c r="H119" s="1">
        <v>71000</v>
      </c>
      <c r="I119" s="3">
        <v>142000</v>
      </c>
      <c r="J119" s="18"/>
    </row>
    <row r="120" spans="1:10" ht="20" customHeight="1" x14ac:dyDescent="0.35">
      <c r="A120" s="18"/>
      <c r="B120" s="2">
        <v>45999</v>
      </c>
      <c r="C120" s="1" t="s">
        <v>20</v>
      </c>
      <c r="D120" s="1" t="s">
        <v>21</v>
      </c>
      <c r="E120" s="1" t="s">
        <v>22</v>
      </c>
      <c r="F120" s="1" t="s">
        <v>11</v>
      </c>
      <c r="G120" s="1">
        <v>5</v>
      </c>
      <c r="H120" s="1">
        <v>2900</v>
      </c>
      <c r="I120" s="3">
        <v>14500</v>
      </c>
      <c r="J120" s="18"/>
    </row>
    <row r="121" spans="1:10" ht="20" customHeight="1" x14ac:dyDescent="0.35">
      <c r="A121" s="18"/>
      <c r="B121" s="2">
        <v>46001</v>
      </c>
      <c r="C121" s="1" t="s">
        <v>24</v>
      </c>
      <c r="D121" s="1" t="s">
        <v>25</v>
      </c>
      <c r="E121" s="1" t="s">
        <v>22</v>
      </c>
      <c r="F121" s="1" t="s">
        <v>37</v>
      </c>
      <c r="G121" s="1">
        <v>7</v>
      </c>
      <c r="H121" s="1">
        <v>3450</v>
      </c>
      <c r="I121" s="3">
        <v>24150</v>
      </c>
      <c r="J121" s="18"/>
    </row>
    <row r="122" spans="1:10" ht="20" customHeight="1" x14ac:dyDescent="0.35">
      <c r="A122" s="18"/>
      <c r="B122" s="2">
        <v>46003</v>
      </c>
      <c r="C122" s="1" t="s">
        <v>27</v>
      </c>
      <c r="D122" s="1" t="s">
        <v>28</v>
      </c>
      <c r="E122" s="1" t="s">
        <v>29</v>
      </c>
      <c r="F122" s="1" t="s">
        <v>33</v>
      </c>
      <c r="G122" s="1">
        <v>1</v>
      </c>
      <c r="H122" s="1">
        <v>48500</v>
      </c>
      <c r="I122" s="3">
        <v>48500</v>
      </c>
      <c r="J122" s="18"/>
    </row>
    <row r="123" spans="1:10" ht="20" customHeight="1" x14ac:dyDescent="0.35">
      <c r="A123" s="18"/>
      <c r="B123" s="2">
        <v>46005</v>
      </c>
      <c r="C123" s="1" t="s">
        <v>31</v>
      </c>
      <c r="D123" s="1" t="s">
        <v>32</v>
      </c>
      <c r="E123" s="1" t="s">
        <v>14</v>
      </c>
      <c r="F123" s="1" t="s">
        <v>19</v>
      </c>
      <c r="G123" s="1">
        <v>2</v>
      </c>
      <c r="H123" s="1">
        <v>43000</v>
      </c>
      <c r="I123" s="3">
        <v>86000</v>
      </c>
      <c r="J123" s="18"/>
    </row>
    <row r="124" spans="1:10" ht="20" customHeight="1" x14ac:dyDescent="0.35">
      <c r="A124" s="18"/>
      <c r="B124" s="2">
        <v>46007</v>
      </c>
      <c r="C124" s="1" t="s">
        <v>34</v>
      </c>
      <c r="D124" s="1" t="s">
        <v>35</v>
      </c>
      <c r="E124" s="1" t="s">
        <v>36</v>
      </c>
      <c r="F124" s="1" t="s">
        <v>23</v>
      </c>
      <c r="G124" s="1">
        <v>3</v>
      </c>
      <c r="H124" s="1">
        <v>12600</v>
      </c>
      <c r="I124" s="3">
        <v>37800</v>
      </c>
      <c r="J124" s="18"/>
    </row>
    <row r="125" spans="1:10" ht="20" customHeight="1" x14ac:dyDescent="0.35">
      <c r="A125" s="18"/>
      <c r="B125" s="2">
        <v>46009</v>
      </c>
      <c r="C125" s="1" t="s">
        <v>38</v>
      </c>
      <c r="D125" s="1" t="s">
        <v>39</v>
      </c>
      <c r="E125" s="1" t="s">
        <v>40</v>
      </c>
      <c r="F125" s="1" t="s">
        <v>15</v>
      </c>
      <c r="G125" s="1">
        <v>9</v>
      </c>
      <c r="H125" s="1">
        <v>1500</v>
      </c>
      <c r="I125" s="3">
        <v>13500</v>
      </c>
      <c r="J125" s="18"/>
    </row>
    <row r="126" spans="1:10" ht="20" customHeight="1" x14ac:dyDescent="0.35">
      <c r="A126" s="18"/>
      <c r="B126" s="2">
        <v>46011</v>
      </c>
      <c r="C126" s="1" t="s">
        <v>41</v>
      </c>
      <c r="D126" s="1" t="s">
        <v>42</v>
      </c>
      <c r="E126" s="1" t="s">
        <v>40</v>
      </c>
      <c r="F126" s="1" t="s">
        <v>11</v>
      </c>
      <c r="G126" s="1">
        <v>11</v>
      </c>
      <c r="H126" s="1">
        <v>940</v>
      </c>
      <c r="I126" s="3">
        <v>10340</v>
      </c>
      <c r="J126" s="18"/>
    </row>
    <row r="127" spans="1:10" ht="20" customHeight="1" x14ac:dyDescent="0.35">
      <c r="A127" s="18"/>
      <c r="B127" s="2">
        <v>46013</v>
      </c>
      <c r="C127" s="1" t="s">
        <v>8</v>
      </c>
      <c r="D127" s="1" t="s">
        <v>9</v>
      </c>
      <c r="E127" s="1" t="s">
        <v>10</v>
      </c>
      <c r="F127" s="1" t="s">
        <v>19</v>
      </c>
      <c r="G127" s="1">
        <v>3</v>
      </c>
      <c r="H127" s="1">
        <v>54000</v>
      </c>
      <c r="I127" s="3">
        <v>162000</v>
      </c>
      <c r="J127" s="18"/>
    </row>
    <row r="128" spans="1:10" ht="20" customHeight="1" x14ac:dyDescent="0.35">
      <c r="A128" s="18"/>
      <c r="B128" s="2">
        <v>46014</v>
      </c>
      <c r="C128" s="1" t="s">
        <v>12</v>
      </c>
      <c r="D128" s="1" t="s">
        <v>13</v>
      </c>
      <c r="E128" s="1" t="s">
        <v>14</v>
      </c>
      <c r="F128" s="1" t="s">
        <v>23</v>
      </c>
      <c r="G128" s="1">
        <v>7</v>
      </c>
      <c r="H128" s="1">
        <v>19500</v>
      </c>
      <c r="I128" s="3">
        <v>136500</v>
      </c>
      <c r="J128" s="18"/>
    </row>
    <row r="129" spans="1:10" ht="20" customHeight="1" x14ac:dyDescent="0.35">
      <c r="A129" s="18"/>
      <c r="B129" s="2">
        <v>46015</v>
      </c>
      <c r="C129" s="1" t="s">
        <v>16</v>
      </c>
      <c r="D129" s="1" t="s">
        <v>17</v>
      </c>
      <c r="E129" s="1" t="s">
        <v>18</v>
      </c>
      <c r="F129" s="1" t="s">
        <v>26</v>
      </c>
      <c r="G129" s="1">
        <v>1</v>
      </c>
      <c r="H129" s="1">
        <v>75000</v>
      </c>
      <c r="I129" s="3">
        <v>75000</v>
      </c>
      <c r="J129" s="18"/>
    </row>
    <row r="130" spans="1:10" ht="20" customHeight="1" x14ac:dyDescent="0.35">
      <c r="A130" s="18"/>
      <c r="B130" s="2">
        <v>46016</v>
      </c>
      <c r="C130" s="1" t="s">
        <v>20</v>
      </c>
      <c r="D130" s="1" t="s">
        <v>21</v>
      </c>
      <c r="E130" s="1" t="s">
        <v>22</v>
      </c>
      <c r="F130" s="1" t="s">
        <v>33</v>
      </c>
      <c r="G130" s="1">
        <v>8</v>
      </c>
      <c r="H130" s="1">
        <v>3350</v>
      </c>
      <c r="I130" s="3">
        <v>26800</v>
      </c>
      <c r="J130" s="18"/>
    </row>
    <row r="131" spans="1:10" ht="20" customHeight="1" x14ac:dyDescent="0.35">
      <c r="A131" s="18"/>
      <c r="B131" s="2">
        <v>46017</v>
      </c>
      <c r="C131" s="1" t="s">
        <v>24</v>
      </c>
      <c r="D131" s="1" t="s">
        <v>25</v>
      </c>
      <c r="E131" s="1" t="s">
        <v>22</v>
      </c>
      <c r="F131" s="1" t="s">
        <v>11</v>
      </c>
      <c r="G131" s="1">
        <v>5</v>
      </c>
      <c r="H131" s="1">
        <v>3900</v>
      </c>
      <c r="I131" s="3">
        <v>19500</v>
      </c>
      <c r="J131" s="18"/>
    </row>
    <row r="132" spans="1:10" ht="20" customHeight="1" x14ac:dyDescent="0.35">
      <c r="A132" s="18"/>
      <c r="B132" s="2">
        <v>46018</v>
      </c>
      <c r="C132" s="1" t="s">
        <v>27</v>
      </c>
      <c r="D132" s="1" t="s">
        <v>28</v>
      </c>
      <c r="E132" s="1" t="s">
        <v>29</v>
      </c>
      <c r="F132" s="1" t="s">
        <v>30</v>
      </c>
      <c r="G132" s="1">
        <v>2</v>
      </c>
      <c r="H132" s="1">
        <v>50500</v>
      </c>
      <c r="I132" s="3">
        <v>101000</v>
      </c>
      <c r="J132" s="18"/>
    </row>
    <row r="133" spans="1:10" ht="20" customHeight="1" x14ac:dyDescent="0.35">
      <c r="A133" s="18"/>
      <c r="B133" s="2">
        <v>46019</v>
      </c>
      <c r="C133" s="1" t="s">
        <v>31</v>
      </c>
      <c r="D133" s="1" t="s">
        <v>32</v>
      </c>
      <c r="E133" s="1" t="s">
        <v>14</v>
      </c>
      <c r="F133" s="1" t="s">
        <v>15</v>
      </c>
      <c r="G133" s="1">
        <v>1</v>
      </c>
      <c r="H133" s="1">
        <v>45000</v>
      </c>
      <c r="I133" s="3">
        <v>45000</v>
      </c>
      <c r="J133" s="18"/>
    </row>
    <row r="134" spans="1:10" ht="20" customHeight="1" x14ac:dyDescent="0.35">
      <c r="A134" s="18"/>
      <c r="B134" s="2">
        <v>46020</v>
      </c>
      <c r="C134" s="1" t="s">
        <v>34</v>
      </c>
      <c r="D134" s="1" t="s">
        <v>35</v>
      </c>
      <c r="E134" s="1" t="s">
        <v>36</v>
      </c>
      <c r="F134" s="1" t="s">
        <v>37</v>
      </c>
      <c r="G134" s="1">
        <v>4</v>
      </c>
      <c r="H134" s="1">
        <v>13200</v>
      </c>
      <c r="I134" s="3">
        <v>52800</v>
      </c>
      <c r="J134" s="18"/>
    </row>
    <row r="135" spans="1:10" ht="20" customHeight="1" x14ac:dyDescent="0.35">
      <c r="A135" s="18"/>
      <c r="B135" s="2">
        <v>46021</v>
      </c>
      <c r="C135" s="1" t="s">
        <v>38</v>
      </c>
      <c r="D135" s="1" t="s">
        <v>39</v>
      </c>
      <c r="E135" s="1" t="s">
        <v>40</v>
      </c>
      <c r="F135" s="1" t="s">
        <v>19</v>
      </c>
      <c r="G135" s="1">
        <v>7</v>
      </c>
      <c r="H135" s="1">
        <v>1850</v>
      </c>
      <c r="I135" s="3">
        <v>12950</v>
      </c>
      <c r="J135" s="18"/>
    </row>
    <row r="136" spans="1:10" ht="20" customHeight="1" x14ac:dyDescent="0.35">
      <c r="A136" s="18"/>
      <c r="B136" s="4">
        <v>46022</v>
      </c>
      <c r="C136" s="5" t="s">
        <v>41</v>
      </c>
      <c r="D136" s="5" t="s">
        <v>42</v>
      </c>
      <c r="E136" s="5" t="s">
        <v>40</v>
      </c>
      <c r="F136" s="5" t="s">
        <v>26</v>
      </c>
      <c r="G136" s="5">
        <v>12</v>
      </c>
      <c r="H136" s="5">
        <v>900</v>
      </c>
      <c r="I136" s="6">
        <v>10800</v>
      </c>
      <c r="J136" s="18"/>
    </row>
    <row r="137" spans="1:10" x14ac:dyDescent="0.35">
      <c r="A137" s="18"/>
      <c r="B137" s="12"/>
      <c r="C137" s="12"/>
      <c r="D137" s="12"/>
      <c r="E137" s="12"/>
      <c r="F137" s="12"/>
      <c r="G137" s="12"/>
      <c r="H137" s="12"/>
      <c r="I137" s="12"/>
      <c r="J137" s="18"/>
    </row>
    <row r="138" spans="1:10" ht="28" customHeight="1" x14ac:dyDescent="0.35">
      <c r="A138" s="18"/>
      <c r="B138" s="16" t="s">
        <v>74</v>
      </c>
      <c r="C138" s="13"/>
      <c r="D138" s="13"/>
      <c r="E138" s="13"/>
      <c r="F138" s="13"/>
      <c r="G138" s="15">
        <f>SUM(Table1[Total Quantity])</f>
        <v>626</v>
      </c>
      <c r="H138" s="15">
        <f>SUM(Table1[Rate])</f>
        <v>3335610</v>
      </c>
      <c r="I138" s="15">
        <f>SUM(Table1[Total Sales])</f>
        <v>8258940</v>
      </c>
      <c r="J138" s="18"/>
    </row>
    <row r="139" spans="1:10" ht="30" customHeight="1" x14ac:dyDescent="0.35">
      <c r="A139" s="18"/>
      <c r="B139" s="16" t="s">
        <v>75</v>
      </c>
      <c r="C139" s="13"/>
      <c r="D139" s="13"/>
      <c r="E139" s="13"/>
      <c r="F139" s="13"/>
      <c r="G139" s="14">
        <f>AVERAGE(Table1[Total Quantity])</f>
        <v>4.8153846153846152</v>
      </c>
      <c r="H139" s="14">
        <f>AVERAGEA(Table1[Rate])</f>
        <v>25658.538461538461</v>
      </c>
      <c r="I139" s="17">
        <f>AVERAGE(Table1[Total Sales])</f>
        <v>63530.307692307695</v>
      </c>
      <c r="J139" s="18"/>
    </row>
    <row r="140" spans="1:10" x14ac:dyDescent="0.35">
      <c r="A140" s="18"/>
      <c r="B140" s="18"/>
      <c r="C140" s="18"/>
      <c r="D140" s="18"/>
      <c r="E140" s="18"/>
      <c r="F140" s="18"/>
      <c r="G140" s="18"/>
      <c r="H140" s="18"/>
      <c r="I140" s="18"/>
      <c r="J140" s="18"/>
    </row>
    <row r="141" spans="1:10" x14ac:dyDescent="0.35">
      <c r="A141" s="18"/>
      <c r="B141" s="18"/>
      <c r="C141" s="18"/>
      <c r="D141" s="18"/>
      <c r="E141" s="18"/>
      <c r="F141" s="18"/>
      <c r="G141" s="18"/>
      <c r="H141" s="18"/>
      <c r="I141" s="18"/>
      <c r="J141" s="18"/>
    </row>
  </sheetData>
  <mergeCells count="1">
    <mergeCell ref="B2:I3"/>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1BAAA-B8F2-4912-BE70-66B459DAD6A4}">
  <dimension ref="B2:N44"/>
  <sheetViews>
    <sheetView zoomScale="70" zoomScaleNormal="70" workbookViewId="0">
      <selection activeCell="Q45" sqref="Q45"/>
    </sheetView>
  </sheetViews>
  <sheetFormatPr defaultRowHeight="14.5" x14ac:dyDescent="0.35"/>
  <cols>
    <col min="1" max="1" width="10.36328125" customWidth="1"/>
    <col min="2" max="2" width="13.36328125" bestFit="1" customWidth="1"/>
    <col min="3" max="3" width="14.453125" bestFit="1" customWidth="1"/>
    <col min="4" max="5" width="16.08984375" bestFit="1" customWidth="1"/>
    <col min="6" max="6" width="16.453125" bestFit="1" customWidth="1"/>
    <col min="7" max="7" width="18.81640625" bestFit="1" customWidth="1"/>
    <col min="8" max="8" width="16.08984375" bestFit="1" customWidth="1"/>
    <col min="9" max="9" width="14.453125" bestFit="1" customWidth="1"/>
    <col min="10" max="10" width="18.81640625" bestFit="1" customWidth="1"/>
    <col min="11" max="11" width="13.36328125" bestFit="1" customWidth="1"/>
    <col min="12" max="12" width="11.36328125" customWidth="1"/>
    <col min="13" max="13" width="14.453125" bestFit="1" customWidth="1"/>
    <col min="14" max="14" width="16.08984375" bestFit="1" customWidth="1"/>
    <col min="15" max="15" width="9.54296875" customWidth="1"/>
    <col min="16" max="16" width="14.453125" bestFit="1" customWidth="1"/>
    <col min="17" max="17" width="16.08984375" bestFit="1" customWidth="1"/>
    <col min="18" max="18" width="9.7265625" customWidth="1"/>
    <col min="20" max="20" width="16.08984375" bestFit="1" customWidth="1"/>
  </cols>
  <sheetData>
    <row r="2" spans="2:14" ht="26" customHeight="1" x14ac:dyDescent="0.7">
      <c r="B2" s="24" t="s">
        <v>71</v>
      </c>
      <c r="C2" s="25"/>
      <c r="D2" s="25"/>
      <c r="E2" s="25"/>
      <c r="F2" s="25"/>
      <c r="G2" s="25"/>
      <c r="H2" s="25"/>
      <c r="I2" s="25"/>
      <c r="J2" s="25"/>
      <c r="K2" s="25"/>
    </row>
    <row r="4" spans="2:14" ht="32" customHeight="1" x14ac:dyDescent="0.35">
      <c r="B4" s="9" t="s">
        <v>50</v>
      </c>
      <c r="C4" s="9" t="s">
        <v>70</v>
      </c>
      <c r="D4" s="9"/>
      <c r="E4" s="9"/>
      <c r="F4" s="9"/>
      <c r="G4" s="9"/>
      <c r="H4" s="9"/>
      <c r="I4" s="9"/>
      <c r="J4" s="9"/>
      <c r="K4" s="9"/>
      <c r="M4" s="27" t="s">
        <v>67</v>
      </c>
      <c r="N4" s="27"/>
    </row>
    <row r="5" spans="2:14" ht="14.5" customHeight="1" x14ac:dyDescent="0.35">
      <c r="B5" s="9" t="s">
        <v>51</v>
      </c>
      <c r="C5" s="9" t="s">
        <v>19</v>
      </c>
      <c r="D5" s="9" t="s">
        <v>30</v>
      </c>
      <c r="E5" s="9" t="s">
        <v>15</v>
      </c>
      <c r="F5" s="9" t="s">
        <v>23</v>
      </c>
      <c r="G5" s="9" t="s">
        <v>37</v>
      </c>
      <c r="H5" s="9" t="s">
        <v>33</v>
      </c>
      <c r="I5" s="9" t="s">
        <v>11</v>
      </c>
      <c r="J5" s="9" t="s">
        <v>26</v>
      </c>
      <c r="K5" s="9" t="s">
        <v>52</v>
      </c>
      <c r="M5" s="7" t="s">
        <v>51</v>
      </c>
      <c r="N5" t="s">
        <v>50</v>
      </c>
    </row>
    <row r="6" spans="2:14" x14ac:dyDescent="0.35">
      <c r="B6" s="10" t="s">
        <v>9</v>
      </c>
      <c r="C6" s="9">
        <v>775500</v>
      </c>
      <c r="D6" s="9"/>
      <c r="E6" s="9">
        <v>680000</v>
      </c>
      <c r="F6" s="9"/>
      <c r="G6" s="9"/>
      <c r="H6" s="9"/>
      <c r="I6" s="9">
        <v>675000</v>
      </c>
      <c r="J6" s="9"/>
      <c r="K6" s="9">
        <v>2130500</v>
      </c>
      <c r="M6" s="8" t="s">
        <v>18</v>
      </c>
      <c r="N6">
        <v>977000</v>
      </c>
    </row>
    <row r="7" spans="2:14" x14ac:dyDescent="0.35">
      <c r="B7" s="10" t="s">
        <v>13</v>
      </c>
      <c r="C7" s="9"/>
      <c r="D7" s="9">
        <v>302400</v>
      </c>
      <c r="E7" s="9">
        <v>381000</v>
      </c>
      <c r="F7" s="9">
        <v>583300</v>
      </c>
      <c r="G7" s="9"/>
      <c r="H7" s="9"/>
      <c r="I7" s="9"/>
      <c r="J7" s="9"/>
      <c r="K7" s="9">
        <v>1266700</v>
      </c>
      <c r="M7" s="8" t="s">
        <v>10</v>
      </c>
      <c r="N7">
        <v>827500</v>
      </c>
    </row>
    <row r="8" spans="2:14" x14ac:dyDescent="0.35">
      <c r="B8" s="10" t="s">
        <v>21</v>
      </c>
      <c r="C8" s="9"/>
      <c r="D8" s="9"/>
      <c r="E8" s="9"/>
      <c r="F8" s="9">
        <v>40000</v>
      </c>
      <c r="G8" s="9"/>
      <c r="H8" s="9">
        <v>189550</v>
      </c>
      <c r="I8" s="9">
        <v>42250</v>
      </c>
      <c r="J8" s="9"/>
      <c r="K8" s="9">
        <v>271800</v>
      </c>
      <c r="M8" s="8" t="s">
        <v>43</v>
      </c>
      <c r="N8">
        <v>473400</v>
      </c>
    </row>
    <row r="9" spans="2:14" x14ac:dyDescent="0.35">
      <c r="B9" s="10" t="s">
        <v>39</v>
      </c>
      <c r="C9" s="9">
        <v>56300</v>
      </c>
      <c r="D9" s="9"/>
      <c r="E9" s="9">
        <v>40950</v>
      </c>
      <c r="F9" s="9"/>
      <c r="G9" s="9">
        <v>31600</v>
      </c>
      <c r="H9" s="9"/>
      <c r="I9" s="9">
        <v>26400</v>
      </c>
      <c r="J9" s="9"/>
      <c r="K9" s="9">
        <v>155250</v>
      </c>
      <c r="M9" s="8" t="s">
        <v>36</v>
      </c>
      <c r="N9">
        <v>403800</v>
      </c>
    </row>
    <row r="10" spans="2:14" x14ac:dyDescent="0.35">
      <c r="B10" s="10" t="s">
        <v>42</v>
      </c>
      <c r="C10" s="9">
        <v>22900</v>
      </c>
      <c r="D10" s="9"/>
      <c r="E10" s="9">
        <v>18950</v>
      </c>
      <c r="F10" s="9"/>
      <c r="G10" s="9"/>
      <c r="H10" s="9"/>
      <c r="I10" s="9">
        <v>31350</v>
      </c>
      <c r="J10" s="9">
        <v>49740</v>
      </c>
      <c r="K10" s="9">
        <v>122940</v>
      </c>
      <c r="M10" s="8" t="s">
        <v>46</v>
      </c>
      <c r="N10">
        <v>87150</v>
      </c>
    </row>
    <row r="11" spans="2:14" x14ac:dyDescent="0.35">
      <c r="B11" s="10" t="s">
        <v>17</v>
      </c>
      <c r="C11" s="9">
        <v>266000</v>
      </c>
      <c r="D11" s="9">
        <v>490500</v>
      </c>
      <c r="E11" s="9"/>
      <c r="F11" s="9"/>
      <c r="G11" s="9"/>
      <c r="H11" s="9"/>
      <c r="I11" s="9"/>
      <c r="J11" s="9">
        <v>815000</v>
      </c>
      <c r="K11" s="9">
        <v>1571500</v>
      </c>
      <c r="M11" s="8" t="s">
        <v>45</v>
      </c>
      <c r="N11">
        <v>1494500</v>
      </c>
    </row>
    <row r="12" spans="2:14" x14ac:dyDescent="0.35">
      <c r="B12" s="10" t="s">
        <v>35</v>
      </c>
      <c r="C12" s="9"/>
      <c r="D12" s="9"/>
      <c r="E12" s="9"/>
      <c r="F12" s="9">
        <v>111900</v>
      </c>
      <c r="G12" s="9">
        <v>324900</v>
      </c>
      <c r="H12" s="9"/>
      <c r="I12" s="9">
        <v>105000</v>
      </c>
      <c r="J12" s="9"/>
      <c r="K12" s="9">
        <v>541800</v>
      </c>
      <c r="M12" s="8" t="s">
        <v>29</v>
      </c>
      <c r="N12">
        <v>815500</v>
      </c>
    </row>
    <row r="13" spans="2:14" x14ac:dyDescent="0.35">
      <c r="B13" s="10" t="s">
        <v>32</v>
      </c>
      <c r="C13" s="9">
        <v>256600</v>
      </c>
      <c r="D13" s="9"/>
      <c r="E13" s="9">
        <v>215500</v>
      </c>
      <c r="F13" s="9">
        <v>119300</v>
      </c>
      <c r="G13" s="9"/>
      <c r="H13" s="9">
        <v>125000</v>
      </c>
      <c r="I13" s="9"/>
      <c r="J13" s="9"/>
      <c r="K13" s="9">
        <v>716400</v>
      </c>
      <c r="M13" s="8" t="s">
        <v>40</v>
      </c>
      <c r="N13">
        <v>207790</v>
      </c>
    </row>
    <row r="14" spans="2:14" x14ac:dyDescent="0.35">
      <c r="B14" s="10" t="s">
        <v>25</v>
      </c>
      <c r="C14" s="9">
        <v>258000</v>
      </c>
      <c r="D14" s="9"/>
      <c r="E14" s="9"/>
      <c r="F14" s="9"/>
      <c r="G14" s="9">
        <v>71050</v>
      </c>
      <c r="H14" s="9"/>
      <c r="I14" s="9">
        <v>186000</v>
      </c>
      <c r="J14" s="9">
        <v>42000</v>
      </c>
      <c r="K14" s="9">
        <v>557050</v>
      </c>
      <c r="M14" s="8" t="s">
        <v>22</v>
      </c>
      <c r="N14">
        <v>373700</v>
      </c>
    </row>
    <row r="15" spans="2:14" x14ac:dyDescent="0.35">
      <c r="B15" s="10" t="s">
        <v>28</v>
      </c>
      <c r="C15" s="9"/>
      <c r="D15" s="9">
        <v>592000</v>
      </c>
      <c r="E15" s="9"/>
      <c r="F15" s="9"/>
      <c r="G15" s="9"/>
      <c r="H15" s="9">
        <v>145500</v>
      </c>
      <c r="I15" s="9"/>
      <c r="J15" s="9">
        <v>187500</v>
      </c>
      <c r="K15" s="9">
        <v>925000</v>
      </c>
      <c r="M15" s="8" t="s">
        <v>14</v>
      </c>
      <c r="N15">
        <v>1864300</v>
      </c>
    </row>
    <row r="16" spans="2:14" x14ac:dyDescent="0.35">
      <c r="B16" s="10" t="s">
        <v>52</v>
      </c>
      <c r="C16" s="9">
        <v>1635300</v>
      </c>
      <c r="D16" s="9">
        <v>1384900</v>
      </c>
      <c r="E16" s="9">
        <v>1336400</v>
      </c>
      <c r="F16" s="9">
        <v>854500</v>
      </c>
      <c r="G16" s="9">
        <v>427550</v>
      </c>
      <c r="H16" s="9">
        <v>460050</v>
      </c>
      <c r="I16" s="9">
        <v>1066000</v>
      </c>
      <c r="J16" s="9">
        <v>1094240</v>
      </c>
      <c r="K16" s="9">
        <v>8258940</v>
      </c>
      <c r="M16" s="8" t="s">
        <v>47</v>
      </c>
      <c r="N16">
        <v>247500</v>
      </c>
    </row>
    <row r="17" spans="3:14" x14ac:dyDescent="0.35">
      <c r="M17" s="8" t="s">
        <v>44</v>
      </c>
      <c r="N17">
        <v>328500</v>
      </c>
    </row>
    <row r="18" spans="3:14" ht="31" customHeight="1" x14ac:dyDescent="0.35">
      <c r="M18" s="8" t="s">
        <v>48</v>
      </c>
      <c r="N18">
        <v>158300</v>
      </c>
    </row>
    <row r="19" spans="3:14" ht="16" x14ac:dyDescent="0.4">
      <c r="C19" s="28" t="s">
        <v>66</v>
      </c>
      <c r="D19" s="28"/>
      <c r="F19" s="23" t="s">
        <v>72</v>
      </c>
      <c r="G19" s="23"/>
      <c r="I19" s="23" t="s">
        <v>69</v>
      </c>
      <c r="J19" s="23"/>
      <c r="M19" s="8" t="s">
        <v>52</v>
      </c>
      <c r="N19">
        <v>8258940</v>
      </c>
    </row>
    <row r="20" spans="3:14" x14ac:dyDescent="0.35">
      <c r="C20" s="7" t="s">
        <v>51</v>
      </c>
      <c r="D20" t="s">
        <v>50</v>
      </c>
      <c r="F20" s="7" t="s">
        <v>51</v>
      </c>
      <c r="G20" t="s">
        <v>68</v>
      </c>
      <c r="I20" s="7" t="s">
        <v>51</v>
      </c>
      <c r="J20" t="s">
        <v>68</v>
      </c>
    </row>
    <row r="21" spans="3:14" x14ac:dyDescent="0.35">
      <c r="C21" s="8" t="s">
        <v>9</v>
      </c>
      <c r="D21">
        <v>2130500</v>
      </c>
      <c r="F21" s="8" t="s">
        <v>9</v>
      </c>
      <c r="G21">
        <v>40</v>
      </c>
      <c r="I21" s="8" t="s">
        <v>9</v>
      </c>
      <c r="J21">
        <v>40</v>
      </c>
    </row>
    <row r="22" spans="3:14" ht="16" x14ac:dyDescent="0.4">
      <c r="C22" s="8" t="s">
        <v>13</v>
      </c>
      <c r="D22">
        <v>1266700</v>
      </c>
      <c r="F22" s="8" t="s">
        <v>13</v>
      </c>
      <c r="G22">
        <v>73</v>
      </c>
      <c r="I22" s="8" t="s">
        <v>13</v>
      </c>
      <c r="J22">
        <v>73</v>
      </c>
      <c r="M22" s="29" t="s">
        <v>65</v>
      </c>
      <c r="N22" s="29"/>
    </row>
    <row r="23" spans="3:14" x14ac:dyDescent="0.35">
      <c r="C23" s="8" t="s">
        <v>21</v>
      </c>
      <c r="D23">
        <v>271800</v>
      </c>
      <c r="F23" s="8" t="s">
        <v>21</v>
      </c>
      <c r="G23">
        <v>92</v>
      </c>
      <c r="I23" s="8" t="s">
        <v>21</v>
      </c>
      <c r="J23">
        <v>92</v>
      </c>
      <c r="M23" s="7" t="s">
        <v>51</v>
      </c>
      <c r="N23" t="s">
        <v>50</v>
      </c>
    </row>
    <row r="24" spans="3:14" x14ac:dyDescent="0.35">
      <c r="C24" s="8" t="s">
        <v>39</v>
      </c>
      <c r="D24">
        <v>155250</v>
      </c>
      <c r="F24" s="8" t="s">
        <v>39</v>
      </c>
      <c r="G24">
        <v>102</v>
      </c>
      <c r="I24" s="8" t="s">
        <v>39</v>
      </c>
      <c r="J24">
        <v>102</v>
      </c>
      <c r="M24" s="8" t="s">
        <v>53</v>
      </c>
      <c r="N24">
        <v>622600</v>
      </c>
    </row>
    <row r="25" spans="3:14" x14ac:dyDescent="0.35">
      <c r="C25" s="8" t="s">
        <v>42</v>
      </c>
      <c r="D25">
        <v>122940</v>
      </c>
      <c r="F25" s="8" t="s">
        <v>42</v>
      </c>
      <c r="G25">
        <v>144</v>
      </c>
      <c r="I25" s="8" t="s">
        <v>42</v>
      </c>
      <c r="J25">
        <v>144</v>
      </c>
      <c r="M25" s="8" t="s">
        <v>54</v>
      </c>
      <c r="N25">
        <v>621100</v>
      </c>
    </row>
    <row r="26" spans="3:14" x14ac:dyDescent="0.35">
      <c r="C26" s="8" t="s">
        <v>17</v>
      </c>
      <c r="D26">
        <v>1571500</v>
      </c>
      <c r="F26" s="8" t="s">
        <v>17</v>
      </c>
      <c r="G26">
        <v>25</v>
      </c>
      <c r="I26" s="8" t="s">
        <v>17</v>
      </c>
      <c r="J26">
        <v>25</v>
      </c>
      <c r="M26" s="8" t="s">
        <v>55</v>
      </c>
      <c r="N26">
        <v>639750</v>
      </c>
    </row>
    <row r="27" spans="3:14" x14ac:dyDescent="0.35">
      <c r="C27" s="8" t="s">
        <v>35</v>
      </c>
      <c r="D27">
        <v>541800</v>
      </c>
      <c r="F27" s="8" t="s">
        <v>35</v>
      </c>
      <c r="G27">
        <v>44</v>
      </c>
      <c r="I27" s="8" t="s">
        <v>35</v>
      </c>
      <c r="J27">
        <v>44</v>
      </c>
      <c r="M27" s="8" t="s">
        <v>56</v>
      </c>
      <c r="N27">
        <v>617400</v>
      </c>
    </row>
    <row r="28" spans="3:14" x14ac:dyDescent="0.35">
      <c r="C28" s="8" t="s">
        <v>32</v>
      </c>
      <c r="D28">
        <v>716400</v>
      </c>
      <c r="F28" s="8" t="s">
        <v>32</v>
      </c>
      <c r="G28">
        <v>17</v>
      </c>
      <c r="I28" s="8" t="s">
        <v>32</v>
      </c>
      <c r="J28">
        <v>17</v>
      </c>
      <c r="M28" s="8" t="s">
        <v>57</v>
      </c>
      <c r="N28">
        <v>596400</v>
      </c>
    </row>
    <row r="29" spans="3:14" x14ac:dyDescent="0.35">
      <c r="C29" s="8" t="s">
        <v>25</v>
      </c>
      <c r="D29">
        <v>557050</v>
      </c>
      <c r="F29" s="8" t="s">
        <v>25</v>
      </c>
      <c r="G29">
        <v>71</v>
      </c>
      <c r="I29" s="8" t="s">
        <v>25</v>
      </c>
      <c r="J29">
        <v>71</v>
      </c>
      <c r="M29" s="8" t="s">
        <v>58</v>
      </c>
      <c r="N29">
        <v>691950</v>
      </c>
    </row>
    <row r="30" spans="3:14" x14ac:dyDescent="0.35">
      <c r="C30" s="8" t="s">
        <v>28</v>
      </c>
      <c r="D30">
        <v>925000</v>
      </c>
      <c r="F30" s="8" t="s">
        <v>28</v>
      </c>
      <c r="G30">
        <v>18</v>
      </c>
      <c r="I30" s="8" t="s">
        <v>28</v>
      </c>
      <c r="J30">
        <v>18</v>
      </c>
      <c r="M30" s="8" t="s">
        <v>59</v>
      </c>
      <c r="N30">
        <v>593700</v>
      </c>
    </row>
    <row r="31" spans="3:14" x14ac:dyDescent="0.35">
      <c r="C31" s="8" t="s">
        <v>52</v>
      </c>
      <c r="D31">
        <v>8258940</v>
      </c>
      <c r="F31" s="8" t="s">
        <v>52</v>
      </c>
      <c r="G31">
        <v>626</v>
      </c>
      <c r="I31" s="8" t="s">
        <v>52</v>
      </c>
      <c r="J31">
        <v>626</v>
      </c>
      <c r="M31" s="8" t="s">
        <v>60</v>
      </c>
      <c r="N31">
        <v>607700</v>
      </c>
    </row>
    <row r="32" spans="3:14" x14ac:dyDescent="0.35">
      <c r="M32" s="8" t="s">
        <v>61</v>
      </c>
      <c r="N32">
        <v>702260</v>
      </c>
    </row>
    <row r="33" spans="3:14" x14ac:dyDescent="0.35">
      <c r="M33" s="8" t="s">
        <v>62</v>
      </c>
      <c r="N33">
        <v>604790</v>
      </c>
    </row>
    <row r="34" spans="3:14" ht="16" x14ac:dyDescent="0.35">
      <c r="C34" s="26" t="s">
        <v>73</v>
      </c>
      <c r="D34" s="26"/>
      <c r="M34" s="8" t="s">
        <v>63</v>
      </c>
      <c r="N34">
        <v>610150</v>
      </c>
    </row>
    <row r="35" spans="3:14" x14ac:dyDescent="0.35">
      <c r="C35" s="7" t="s">
        <v>51</v>
      </c>
      <c r="D35" t="s">
        <v>50</v>
      </c>
      <c r="M35" s="8" t="s">
        <v>64</v>
      </c>
      <c r="N35">
        <v>1351140</v>
      </c>
    </row>
    <row r="36" spans="3:14" x14ac:dyDescent="0.35">
      <c r="C36" s="8" t="s">
        <v>19</v>
      </c>
      <c r="D36">
        <v>1635300</v>
      </c>
      <c r="M36" s="8" t="s">
        <v>52</v>
      </c>
      <c r="N36">
        <v>8258940</v>
      </c>
    </row>
    <row r="37" spans="3:14" x14ac:dyDescent="0.35">
      <c r="C37" s="8" t="s">
        <v>30</v>
      </c>
      <c r="D37">
        <v>1384900</v>
      </c>
    </row>
    <row r="38" spans="3:14" x14ac:dyDescent="0.35">
      <c r="C38" s="8" t="s">
        <v>15</v>
      </c>
      <c r="D38">
        <v>1336400</v>
      </c>
    </row>
    <row r="39" spans="3:14" x14ac:dyDescent="0.35">
      <c r="C39" s="8" t="s">
        <v>23</v>
      </c>
      <c r="D39">
        <v>854500</v>
      </c>
    </row>
    <row r="40" spans="3:14" x14ac:dyDescent="0.35">
      <c r="C40" s="8" t="s">
        <v>37</v>
      </c>
      <c r="D40">
        <v>427550</v>
      </c>
    </row>
    <row r="41" spans="3:14" x14ac:dyDescent="0.35">
      <c r="C41" s="8" t="s">
        <v>33</v>
      </c>
      <c r="D41">
        <v>460050</v>
      </c>
    </row>
    <row r="42" spans="3:14" x14ac:dyDescent="0.35">
      <c r="C42" s="8" t="s">
        <v>11</v>
      </c>
      <c r="D42">
        <v>1066000</v>
      </c>
    </row>
    <row r="43" spans="3:14" x14ac:dyDescent="0.35">
      <c r="C43" s="8" t="s">
        <v>26</v>
      </c>
      <c r="D43">
        <v>1094240</v>
      </c>
    </row>
    <row r="44" spans="3:14" x14ac:dyDescent="0.35">
      <c r="C44" s="8" t="s">
        <v>52</v>
      </c>
      <c r="D44">
        <v>8258940</v>
      </c>
    </row>
  </sheetData>
  <mergeCells count="7">
    <mergeCell ref="I19:J19"/>
    <mergeCell ref="B2:K2"/>
    <mergeCell ref="C34:D34"/>
    <mergeCell ref="M4:N4"/>
    <mergeCell ref="C19:D19"/>
    <mergeCell ref="F19:G19"/>
    <mergeCell ref="M22:N22"/>
  </mergeCells>
  <conditionalFormatting pivot="1" sqref="C6:K15">
    <cfRule type="colorScale" priority="1">
      <colorScale>
        <cfvo type="min"/>
        <cfvo type="percentile" val="50"/>
        <cfvo type="max"/>
        <color rgb="FFFDEDEC"/>
        <color rgb="FFFCF3CF"/>
        <color rgb="FFD5F5E3"/>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D2D4E-33AA-4D17-9B0F-6E8D90405296}">
  <dimension ref="A1"/>
  <sheetViews>
    <sheetView showGridLines="0" tabSelected="1" zoomScale="55" zoomScaleNormal="55" workbookViewId="0">
      <selection activeCell="J14" sqref="J14"/>
    </sheetView>
  </sheetViews>
  <sheetFormatPr defaultRowHeight="14.5" x14ac:dyDescent="0.35"/>
  <cols>
    <col min="1" max="5" width="8.7265625" style="11"/>
    <col min="6" max="6" width="22.6328125" style="11" customWidth="1"/>
    <col min="7" max="7" width="27.453125" style="11" customWidth="1"/>
    <col min="8" max="8" width="22.26953125" style="11" customWidth="1"/>
    <col min="9" max="9" width="13.54296875" style="11" customWidth="1"/>
    <col min="10" max="10" width="17.453125" style="11" customWidth="1"/>
    <col min="11" max="11" width="8.6328125" style="11" bestFit="1" customWidth="1"/>
    <col min="12" max="12" width="14.90625" style="11" customWidth="1"/>
    <col min="13" max="13" width="11.08984375" style="11" customWidth="1"/>
    <col min="14" max="14" width="16.81640625" style="11" customWidth="1"/>
    <col min="15" max="15" width="16.453125" style="11" customWidth="1"/>
    <col min="16" max="16" width="10.90625" style="11" bestFit="1" customWidth="1"/>
    <col min="17" max="17" width="2.81640625" style="11" bestFit="1" customWidth="1"/>
    <col min="18" max="18" width="10.36328125" style="11" bestFit="1" customWidth="1"/>
    <col min="19" max="21" width="8.7265625" style="11"/>
    <col min="22" max="22" width="16.08984375" style="11" bestFit="1" customWidth="1"/>
    <col min="23" max="23" width="17.6328125" style="11" bestFit="1" customWidth="1"/>
    <col min="24" max="24" width="8" style="11" bestFit="1" customWidth="1"/>
    <col min="25" max="25" width="11.36328125" style="11" bestFit="1" customWidth="1"/>
    <col min="26" max="26" width="8.7265625" style="11"/>
    <col min="27" max="27" width="7" style="11" bestFit="1" customWidth="1"/>
    <col min="28" max="28" width="8" style="11" bestFit="1" customWidth="1"/>
    <col min="29" max="29" width="9.81640625" style="11" bestFit="1" customWidth="1"/>
    <col min="30" max="31" width="11" style="11" bestFit="1" customWidth="1"/>
    <col min="32" max="32" width="7" style="11" bestFit="1" customWidth="1"/>
    <col min="33" max="33" width="10.36328125" style="11" bestFit="1" customWidth="1"/>
    <col min="34" max="35" width="8.7265625" style="11"/>
    <col min="36" max="36" width="20.81640625" style="11" bestFit="1" customWidth="1"/>
    <col min="37" max="37" width="24.453125" style="11" bestFit="1" customWidth="1"/>
    <col min="38" max="16384" width="8.7265625" style="1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P-Table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rehankhan1205@outlook.com</dc:creator>
  <cp:lastModifiedBy>rehankhan1205@outlook.com</cp:lastModifiedBy>
  <dcterms:created xsi:type="dcterms:W3CDTF">2026-06-23T19:28:53Z</dcterms:created>
  <dcterms:modified xsi:type="dcterms:W3CDTF">2026-06-24T10:29:41Z</dcterms:modified>
</cp:coreProperties>
</file>